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DASHBOARD" sheetId="1" state="visible" r:id="rId1"/>
    <sheet xmlns:r="http://schemas.openxmlformats.org/officeDocument/2006/relationships" name="📈 SALES KPIs (10)" sheetId="2" state="visible" r:id="rId2"/>
    <sheet xmlns:r="http://schemas.openxmlformats.org/officeDocument/2006/relationships" name="👥 RECRUITMENT KPIs (10)" sheetId="3" state="visible" r:id="rId3"/>
    <sheet xmlns:r="http://schemas.openxmlformats.org/officeDocument/2006/relationships" name="📊 BENCHMARKS" sheetId="4" state="visible" r:id="rId4"/>
    <sheet xmlns:r="http://schemas.openxmlformats.org/officeDocument/2006/relationships" name="🎯 Q1 2026 TARGETS" sheetId="5" state="visible" r:id="rId5"/>
    <sheet xmlns:r="http://schemas.openxmlformats.org/officeDocument/2006/relationships" name="🔢 DATA INPUT" sheetId="6" state="visible" r:id="rId6"/>
    <sheet xmlns:r="http://schemas.openxmlformats.org/officeDocument/2006/relationships" name="📅 WEEKLY TRACKING" sheetId="7" state="visible" r:id="rId7"/>
    <sheet xmlns:r="http://schemas.openxmlformats.org/officeDocument/2006/relationships" name="📊 MONTHLY SUMMARY" sheetId="8" state="visible" r:id="rId8"/>
    <sheet xmlns:r="http://schemas.openxmlformats.org/officeDocument/2006/relationships" name="📅 WEEKLY TRACKER" sheetId="9" state="visible" r:id="rId9"/>
    <sheet xmlns:r="http://schemas.openxmlformats.org/officeDocument/2006/relationships" name="💼 PIPELINE DETAIL" sheetId="10" state="visible" r:id="rId10"/>
    <sheet xmlns:r="http://schemas.openxmlformats.org/officeDocument/2006/relationships" name="🚀 IMPLEMENTATION" sheetId="11" state="visible" r:id="rId11"/>
    <sheet xmlns:r="http://schemas.openxmlformats.org/officeDocument/2006/relationships" name="🧮 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color rgb="00666666"/>
      <sz val="10"/>
    </font>
    <font>
      <b val="1"/>
      <color rgb="004472C4"/>
      <sz val="14"/>
    </font>
    <font>
      <b val="1"/>
      <color rgb="00FFFFFF"/>
      <sz val="11"/>
    </font>
    <font>
      <b val="1"/>
      <color rgb="004472C4"/>
      <sz val="12"/>
    </font>
    <font>
      <b val="1"/>
      <color rgb="00FFFFFF"/>
      <sz val="12"/>
    </font>
    <font>
      <b val="1"/>
      <sz val="10"/>
    </font>
    <font>
      <b val="1"/>
      <color rgb="00FFFFFF"/>
    </font>
    <font>
      <b val="1"/>
    </font>
    <font>
      <b val="1"/>
      <color rgb="004472C4"/>
      <sz val="11"/>
    </font>
    <font>
      <b val="1"/>
      <sz val="12"/>
    </font>
    <font>
      <b val="1"/>
      <color rgb="00000000"/>
      <sz val="12"/>
    </font>
    <font>
      <b val="1"/>
      <color rgb="004472C4"/>
    </font>
    <font>
      <b val="1"/>
      <color rgb="00FF0000"/>
    </font>
    <font>
      <sz val="10"/>
    </font>
    <font>
      <i val="1"/>
      <color rgb="00666666"/>
      <sz val="9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4B084"/>
        <bgColor rgb="00F4B084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right" vertical="center" wrapText="1"/>
    </xf>
    <xf numFmtId="0" fontId="6" fillId="2" borderId="0" pivotButton="0" quotePrefix="0" xfId="0"/>
    <xf numFmtId="0" fontId="6" fillId="7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8" fillId="2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12" fillId="3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6" fillId="0" borderId="0" pivotButton="0" quotePrefix="0" xfId="0"/>
    <xf numFmtId="0" fontId="17" fillId="0" borderId="1" applyAlignment="1" pivotButton="0" quotePrefix="0" xfId="0">
      <alignment horizontal="righ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8" customWidth="1" min="5" max="5"/>
    <col width="25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" t="inlineStr">
        <is>
          <t>RECRUITIN MANAGEMENT DASHBOARD 2026</t>
        </is>
      </c>
    </row>
    <row r="2">
      <c r="A2" s="2" t="inlineStr">
        <is>
          <t>Update: Week 2 | 12-01-2026</t>
        </is>
      </c>
    </row>
    <row r="4">
      <c r="A4" s="3" t="inlineStr">
        <is>
          <t>🎯 KEY PERFORMANCE INDICATORS</t>
        </is>
      </c>
    </row>
    <row r="5">
      <c r="A5" s="4" t="inlineStr">
        <is>
          <t>METRIC</t>
        </is>
      </c>
      <c r="B5" s="4" t="inlineStr">
        <is>
          <t>CURRENT</t>
        </is>
      </c>
      <c r="C5" s="4" t="inlineStr">
        <is>
          <t>TARGET</t>
        </is>
      </c>
      <c r="D5" s="4" t="inlineStr">
        <is>
          <t>% DONE</t>
        </is>
      </c>
      <c r="E5" s="4" t="inlineStr">
        <is>
          <t>STATUS</t>
        </is>
      </c>
    </row>
    <row r="6">
      <c r="A6" s="5" t="inlineStr">
        <is>
          <t>💰 OMZET YTD</t>
        </is>
      </c>
      <c r="B6" s="6" t="inlineStr">
        <is>
          <t>€0</t>
        </is>
      </c>
      <c r="C6" s="6" t="inlineStr">
        <is>
          <t>€1,219,200</t>
        </is>
      </c>
      <c r="D6" s="6" t="inlineStr">
        <is>
          <t>0%</t>
        </is>
      </c>
      <c r="E6" s="7" t="inlineStr">
        <is>
          <t>🟡 Jan start</t>
        </is>
      </c>
    </row>
    <row r="7">
      <c r="A7" s="5" t="inlineStr">
        <is>
          <t>📊 PIPELINE VALUE</t>
        </is>
      </c>
      <c r="B7" s="6" t="inlineStr">
        <is>
          <t>€478,044</t>
        </is>
      </c>
      <c r="C7" s="6" t="inlineStr">
        <is>
          <t>€2,368,000</t>
        </is>
      </c>
      <c r="D7" s="6" t="inlineStr">
        <is>
          <t>20%</t>
        </is>
      </c>
      <c r="E7" s="8" t="inlineStr">
        <is>
          <t>🔴 URGENT</t>
        </is>
      </c>
    </row>
    <row r="8">
      <c r="A8" s="5" t="inlineStr">
        <is>
          <t>🎯 DEALS WON</t>
        </is>
      </c>
      <c r="B8" s="6" t="inlineStr">
        <is>
          <t>0</t>
        </is>
      </c>
      <c r="C8" s="6" t="inlineStr">
        <is>
          <t>11</t>
        </is>
      </c>
      <c r="D8" s="6" t="inlineStr">
        <is>
          <t>0%</t>
        </is>
      </c>
      <c r="E8" s="7" t="inlineStr">
        <is>
          <t>🟡 Jan start</t>
        </is>
      </c>
    </row>
    <row r="9">
      <c r="A9" s="5" t="inlineStr">
        <is>
          <t>👥 PLACEMENTS</t>
        </is>
      </c>
      <c r="B9" s="6" t="inlineStr">
        <is>
          <t>0</t>
        </is>
      </c>
      <c r="C9" s="6" t="inlineStr">
        <is>
          <t>72</t>
        </is>
      </c>
      <c r="D9" s="6" t="inlineStr">
        <is>
          <t>0%</t>
        </is>
      </c>
      <c r="E9" s="7" t="inlineStr">
        <is>
          <t>🟡 Jan start</t>
        </is>
      </c>
    </row>
    <row r="12">
      <c r="A12" s="9" t="inlineStr">
        <is>
          <t>📈 SALES &amp; LEAD GENERATION</t>
        </is>
      </c>
      <c r="F12" s="9" t="inlineStr">
        <is>
          <t>👥 RECRUITMENT &amp; OPERATIONS</t>
        </is>
      </c>
    </row>
    <row r="13">
      <c r="A13" s="10" t="inlineStr">
        <is>
          <t>KPI</t>
        </is>
      </c>
      <c r="B13" t="inlineStr">
        <is>
          <t>Current</t>
        </is>
      </c>
      <c r="C13" t="inlineStr">
        <is>
          <t>Target</t>
        </is>
      </c>
      <c r="D13" t="inlineStr">
        <is>
          <t>Status</t>
        </is>
      </c>
      <c r="F13" t="inlineStr">
        <is>
          <t>KPI</t>
        </is>
      </c>
      <c r="G13" t="inlineStr">
        <is>
          <t>Current</t>
        </is>
      </c>
      <c r="H13" t="inlineStr">
        <is>
          <t>Target</t>
        </is>
      </c>
      <c r="I13" t="inlineStr">
        <is>
          <t>Status</t>
        </is>
      </c>
    </row>
    <row r="14">
      <c r="A14" s="5" t="inlineStr">
        <is>
          <t>Nieuwe leads/maand</t>
        </is>
      </c>
      <c r="B14" s="6" t="inlineStr">
        <is>
          <t>?</t>
        </is>
      </c>
      <c r="C14" s="6" t="inlineStr">
        <is>
          <t>13-17</t>
        </is>
      </c>
      <c r="D14" s="7" t="inlineStr">
        <is>
          <t>⚠️ Check</t>
        </is>
      </c>
      <c r="F14" s="5" t="inlineStr">
        <is>
          <t>Placements/recruiter</t>
        </is>
      </c>
      <c r="G14" s="6" t="inlineStr">
        <is>
          <t>?</t>
        </is>
      </c>
      <c r="H14" s="6" t="inlineStr">
        <is>
          <t>2/mnd</t>
        </is>
      </c>
      <c r="I14" s="7" t="inlineStr">
        <is>
          <t>⚠️ Track</t>
        </is>
      </c>
    </row>
    <row r="15">
      <c r="A15" s="5" t="inlineStr">
        <is>
          <t>Lead → Meeting %</t>
        </is>
      </c>
      <c r="B15" s="6" t="inlineStr">
        <is>
          <t>?</t>
        </is>
      </c>
      <c r="C15" s="6" t="inlineStr">
        <is>
          <t>30%</t>
        </is>
      </c>
      <c r="D15" s="7" t="inlineStr">
        <is>
          <t>⚠️ Track</t>
        </is>
      </c>
      <c r="F15" s="5" t="inlineStr">
        <is>
          <t>Omzet/recruiter</t>
        </is>
      </c>
      <c r="G15" s="6" t="inlineStr">
        <is>
          <t>?</t>
        </is>
      </c>
      <c r="H15" s="6" t="inlineStr">
        <is>
          <t>€34k/mnd</t>
        </is>
      </c>
      <c r="I15" s="7" t="inlineStr">
        <is>
          <t>⚠️ Track</t>
        </is>
      </c>
    </row>
    <row r="16">
      <c r="A16" s="5" t="inlineStr">
        <is>
          <t>Meeting → Proposal %</t>
        </is>
      </c>
      <c r="B16" s="6" t="inlineStr">
        <is>
          <t>?</t>
        </is>
      </c>
      <c r="C16" s="6" t="inlineStr">
        <is>
          <t>60%</t>
        </is>
      </c>
      <c r="D16" s="7" t="inlineStr">
        <is>
          <t>⚠️ Track</t>
        </is>
      </c>
      <c r="F16" s="5" t="inlineStr">
        <is>
          <t>Time to Hire</t>
        </is>
      </c>
      <c r="G16" s="6" t="inlineStr">
        <is>
          <t>?</t>
        </is>
      </c>
      <c r="H16" s="6" t="inlineStr">
        <is>
          <t>&lt;12 weken</t>
        </is>
      </c>
      <c r="I16" s="7" t="inlineStr">
        <is>
          <t>⚠️ Track</t>
        </is>
      </c>
    </row>
    <row r="17">
      <c r="A17" s="5" t="inlineStr">
        <is>
          <t>Proposal → Deal %</t>
        </is>
      </c>
      <c r="B17" s="6" t="inlineStr">
        <is>
          <t>?</t>
        </is>
      </c>
      <c r="C17" s="6" t="inlineStr">
        <is>
          <t>40%</t>
        </is>
      </c>
      <c r="D17" s="7" t="inlineStr">
        <is>
          <t>⚠️ Track</t>
        </is>
      </c>
      <c r="F17" s="5" t="inlineStr">
        <is>
          <t>Candidate conversion %</t>
        </is>
      </c>
      <c r="G17" s="6" t="inlineStr">
        <is>
          <t>?</t>
        </is>
      </c>
      <c r="H17" s="6" t="inlineStr">
        <is>
          <t>25%</t>
        </is>
      </c>
      <c r="I17" s="7" t="inlineStr">
        <is>
          <t>⚠️ Track</t>
        </is>
      </c>
    </row>
    <row r="18">
      <c r="A18" s="5" t="inlineStr">
        <is>
          <t>Avg Sales Cycle</t>
        </is>
      </c>
      <c r="B18" s="6" t="inlineStr">
        <is>
          <t>?</t>
        </is>
      </c>
      <c r="C18" s="6" t="inlineStr">
        <is>
          <t>&lt;90d</t>
        </is>
      </c>
      <c r="D18" s="7" t="inlineStr">
        <is>
          <t>⚠️ Track</t>
        </is>
      </c>
      <c r="F18" s="5" t="inlineStr">
        <is>
          <t>Interview ratio</t>
        </is>
      </c>
      <c r="G18" s="6" t="inlineStr">
        <is>
          <t>?</t>
        </is>
      </c>
      <c r="H18" s="6" t="inlineStr">
        <is>
          <t>3:1</t>
        </is>
      </c>
      <c r="I18" s="7" t="inlineStr">
        <is>
          <t>⚠️ Track</t>
        </is>
      </c>
    </row>
    <row r="19">
      <c r="A19" s="5" t="inlineStr">
        <is>
          <t>ICP Match %</t>
        </is>
      </c>
      <c r="B19" s="6" t="inlineStr">
        <is>
          <t>?</t>
        </is>
      </c>
      <c r="C19" s="6" t="inlineStr">
        <is>
          <t>75%</t>
        </is>
      </c>
      <c r="D19" s="7" t="inlineStr">
        <is>
          <t>⚠️ Check</t>
        </is>
      </c>
      <c r="F19" s="5" t="inlineStr">
        <is>
          <t>Client NPS</t>
        </is>
      </c>
      <c r="G19" s="6" t="inlineStr">
        <is>
          <t>?</t>
        </is>
      </c>
      <c r="H19" s="6" t="inlineStr">
        <is>
          <t>≥8.5</t>
        </is>
      </c>
      <c r="I19" s="7" t="inlineStr">
        <is>
          <t>⚠️ Measure</t>
        </is>
      </c>
    </row>
    <row r="22">
      <c r="A22" s="11" t="inlineStr">
        <is>
          <t>🚨 URGENT ACTIONS - WEEK 2</t>
        </is>
      </c>
    </row>
    <row r="23">
      <c r="A23" s="12" t="inlineStr">
        <is>
          <t>Prio</t>
        </is>
      </c>
      <c r="B23" s="12" t="inlineStr">
        <is>
          <t>Actie</t>
        </is>
      </c>
      <c r="C23" s="12" t="inlineStr">
        <is>
          <t>Detail</t>
        </is>
      </c>
      <c r="D23" s="12" t="inlineStr">
        <is>
          <t>Owner</t>
        </is>
      </c>
      <c r="E23" s="12" t="inlineStr">
        <is>
          <t>Deadline</t>
        </is>
      </c>
    </row>
    <row r="24">
      <c r="A24" s="13" t="inlineStr">
        <is>
          <t>P0</t>
        </is>
      </c>
      <c r="B24" s="5" t="inlineStr">
        <is>
          <t>Pipeline Gap</t>
        </is>
      </c>
      <c r="C24" s="5" t="inlineStr">
        <is>
          <t>Build from €478k → €2,368k</t>
        </is>
      </c>
      <c r="D24" s="5" t="inlineStr">
        <is>
          <t>Wouter/Kitty</t>
        </is>
      </c>
      <c r="E24" s="5" t="inlineStr">
        <is>
          <t>Week 1-4</t>
        </is>
      </c>
    </row>
    <row r="25">
      <c r="A25" s="13" t="inlineStr">
        <is>
          <t>P0</t>
        </is>
      </c>
      <c r="B25" s="5" t="inlineStr">
        <is>
          <t>ICP Scoring</t>
        </is>
      </c>
      <c r="C25" s="5" t="inlineStr">
        <is>
          <t>Score all 269 Pipedrive deals</t>
        </is>
      </c>
      <c r="D25" s="5" t="inlineStr">
        <is>
          <t>Wouter</t>
        </is>
      </c>
      <c r="E25" s="5" t="inlineStr">
        <is>
          <t>Deze week</t>
        </is>
      </c>
    </row>
    <row r="26">
      <c r="A26" s="13" t="inlineStr">
        <is>
          <t>P0</t>
        </is>
      </c>
      <c r="B26" s="5" t="inlineStr">
        <is>
          <t>Lead Gen Sprint</t>
        </is>
      </c>
      <c r="C26" s="5" t="inlineStr">
        <is>
          <t>50+ nieuwe leads (3x normal)</t>
        </is>
      </c>
      <c r="D26" s="5" t="inlineStr">
        <is>
          <t>Wouter</t>
        </is>
      </c>
      <c r="E26" s="5" t="inlineStr">
        <is>
          <t>Deze maand</t>
        </is>
      </c>
    </row>
    <row r="27">
      <c r="A27" s="14" t="inlineStr">
        <is>
          <t>P1</t>
        </is>
      </c>
      <c r="B27" s="5" t="inlineStr">
        <is>
          <t>Funnel Tracking</t>
        </is>
      </c>
      <c r="C27" s="5" t="inlineStr">
        <is>
          <t>Setup tracking in Carerix</t>
        </is>
      </c>
      <c r="D27" s="5" t="inlineStr">
        <is>
          <t>Kitty</t>
        </is>
      </c>
      <c r="E27" s="5" t="inlineStr">
        <is>
          <t>Week 2-3</t>
        </is>
      </c>
    </row>
    <row r="28">
      <c r="A28" s="14" t="inlineStr">
        <is>
          <t>P1</t>
        </is>
      </c>
      <c r="B28" s="5" t="inlineStr">
        <is>
          <t>Dashboard Updates</t>
        </is>
      </c>
      <c r="C28" s="5" t="inlineStr">
        <is>
          <t>Start weekly tracking routine</t>
        </is>
      </c>
      <c r="D28" s="5" t="inlineStr">
        <is>
          <t>Beide</t>
        </is>
      </c>
      <c r="E28" s="5" t="inlineStr">
        <is>
          <t>Vrijdag 15:00</t>
        </is>
      </c>
    </row>
    <row r="31">
      <c r="A31" s="9" t="inlineStr">
        <is>
          <t>📅 WEEKLY TRACKING ROUTINE</t>
        </is>
      </c>
    </row>
    <row r="32">
      <c r="A32" s="10" t="inlineStr">
        <is>
          <t>Wanneer</t>
        </is>
      </c>
      <c r="B32" t="inlineStr">
        <is>
          <t>Wat</t>
        </is>
      </c>
      <c r="C32" t="inlineStr">
        <is>
          <t>Tijd</t>
        </is>
      </c>
      <c r="D32" t="inlineStr">
        <is>
          <t>Owner</t>
        </is>
      </c>
      <c r="E32" t="inlineStr">
        <is>
          <t>Tools</t>
        </is>
      </c>
    </row>
    <row r="33">
      <c r="A33" s="5" t="inlineStr">
        <is>
          <t>Vrijdag 15:00</t>
        </is>
      </c>
      <c r="B33" s="5" t="inlineStr">
        <is>
          <t>Sales Dashboard update</t>
        </is>
      </c>
      <c r="C33" s="5" t="inlineStr">
        <is>
          <t>30 min</t>
        </is>
      </c>
      <c r="D33" s="5" t="inlineStr">
        <is>
          <t>Wouter/Kitty</t>
        </is>
      </c>
      <c r="E33" s="5" t="inlineStr">
        <is>
          <t>Pipedrive</t>
        </is>
      </c>
    </row>
    <row r="34">
      <c r="A34" s="5" t="inlineStr">
        <is>
          <t>Vrijdag 16:00</t>
        </is>
      </c>
      <c r="B34" s="5" t="inlineStr">
        <is>
          <t>Recruiter Dashboard update</t>
        </is>
      </c>
      <c r="C34" s="5" t="inlineStr">
        <is>
          <t>30 min</t>
        </is>
      </c>
      <c r="D34" s="5" t="inlineStr">
        <is>
          <t>Recruiters</t>
        </is>
      </c>
      <c r="E34" s="5" t="inlineStr">
        <is>
          <t>Carerix</t>
        </is>
      </c>
    </row>
    <row r="35">
      <c r="A35" s="5" t="inlineStr">
        <is>
          <t>Maandag 10:00</t>
        </is>
      </c>
      <c r="B35" s="5" t="inlineStr">
        <is>
          <t>Management Review</t>
        </is>
      </c>
      <c r="C35" s="5" t="inlineStr">
        <is>
          <t>60 min</t>
        </is>
      </c>
      <c r="D35" s="5" t="inlineStr">
        <is>
          <t>Team</t>
        </is>
      </c>
      <c r="E35" s="5" t="inlineStr">
        <is>
          <t>Dit dashboard</t>
        </is>
      </c>
    </row>
    <row r="36">
      <c r="A36" s="5" t="inlineStr">
        <is>
          <t>Laatste vrijdag</t>
        </is>
      </c>
      <c r="B36" s="5" t="inlineStr">
        <is>
          <t>Monthly Review</t>
        </is>
      </c>
      <c r="C36" s="5" t="inlineStr">
        <is>
          <t>90 min</t>
        </is>
      </c>
      <c r="D36" s="5" t="inlineStr">
        <is>
          <t>Wouter/Kitty</t>
        </is>
      </c>
      <c r="E36" s="5" t="inlineStr">
        <is>
          <t>Alle dashboards</t>
        </is>
      </c>
    </row>
    <row r="38">
      <c r="A38" s="30" t="inlineStr">
        <is>
          <t>💡 DATA BRON: Alle cijfers komen uit Sheet '🔢 DATA INPUT' - update daar elke vrijdag!</t>
        </is>
      </c>
    </row>
    <row r="39">
      <c r="A39" s="31" t="inlineStr">
        <is>
          <t>📊 TRACKING: Zie 'Weekly Tracking' voor 52-weken detail | 'Monthly Summary' voor jaar overzicht</t>
        </is>
      </c>
    </row>
  </sheetData>
  <mergeCells count="9">
    <mergeCell ref="A1:J1"/>
    <mergeCell ref="A12:E12"/>
    <mergeCell ref="A31:J31"/>
    <mergeCell ref="F12:J12"/>
    <mergeCell ref="A22:J22"/>
    <mergeCell ref="A39:J39"/>
    <mergeCell ref="A4:J4"/>
    <mergeCell ref="A38:J3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0" customWidth="1" min="5" max="5"/>
    <col width="25" customWidth="1" min="6" max="6"/>
    <col width="15" customWidth="1" min="7" max="7"/>
  </cols>
  <sheetData>
    <row r="1">
      <c r="A1" s="1" t="inlineStr">
        <is>
          <t>TOP 10 SALES KPIs - DETAILED TRACKING</t>
        </is>
      </c>
    </row>
    <row r="4">
      <c r="A4" s="10" t="inlineStr">
        <is>
          <t>#</t>
        </is>
      </c>
      <c r="B4" t="inlineStr">
        <is>
          <t>KPI</t>
        </is>
      </c>
      <c r="C4" t="inlineStr">
        <is>
          <t>Current</t>
        </is>
      </c>
      <c r="D4" t="inlineStr">
        <is>
          <t>Target</t>
        </is>
      </c>
      <c r="E4" t="inlineStr">
        <is>
          <t>Status</t>
        </is>
      </c>
      <c r="F4" t="inlineStr">
        <is>
          <t>Bron</t>
        </is>
      </c>
      <c r="G4" t="inlineStr">
        <is>
          <t>Owner</t>
        </is>
      </c>
    </row>
    <row r="5">
      <c r="A5" s="5" t="inlineStr">
        <is>
          <t>1</t>
        </is>
      </c>
      <c r="B5" s="5" t="inlineStr">
        <is>
          <t>Nieuwe leads/maand (ICP)</t>
        </is>
      </c>
      <c r="C5" s="6" t="inlineStr">
        <is>
          <t>?</t>
        </is>
      </c>
      <c r="D5" s="6" t="inlineStr">
        <is>
          <t>13-17</t>
        </is>
      </c>
      <c r="E5" s="7" t="inlineStr">
        <is>
          <t>⚠️</t>
        </is>
      </c>
      <c r="F5" s="5" t="inlineStr">
        <is>
          <t>Pipedrive</t>
        </is>
      </c>
      <c r="G5" s="5" t="inlineStr">
        <is>
          <t>Wouter/Kitty</t>
        </is>
      </c>
    </row>
    <row r="6">
      <c r="A6" s="5" t="inlineStr">
        <is>
          <t>2</t>
        </is>
      </c>
      <c r="B6" s="5" t="inlineStr">
        <is>
          <t>Lead → Afspraak %</t>
        </is>
      </c>
      <c r="C6" s="6" t="inlineStr">
        <is>
          <t>?</t>
        </is>
      </c>
      <c r="D6" s="6" t="inlineStr">
        <is>
          <t>30%</t>
        </is>
      </c>
      <c r="E6" s="7" t="inlineStr">
        <is>
          <t>⚠️</t>
        </is>
      </c>
      <c r="F6" s="5" t="inlineStr">
        <is>
          <t>Pipedrive</t>
        </is>
      </c>
      <c r="G6" s="5" t="inlineStr">
        <is>
          <t>Wouter/Kitty</t>
        </is>
      </c>
    </row>
    <row r="7">
      <c r="A7" s="5" t="inlineStr">
        <is>
          <t>3</t>
        </is>
      </c>
      <c r="B7" s="5" t="inlineStr">
        <is>
          <t>Afspraak → Deal %</t>
        </is>
      </c>
      <c r="C7" s="6" t="inlineStr">
        <is>
          <t>?</t>
        </is>
      </c>
      <c r="D7" s="6" t="inlineStr">
        <is>
          <t>40%</t>
        </is>
      </c>
      <c r="E7" s="7" t="inlineStr">
        <is>
          <t>⚠️</t>
        </is>
      </c>
      <c r="F7" s="5" t="inlineStr">
        <is>
          <t>Pipedrive</t>
        </is>
      </c>
      <c r="G7" s="5" t="inlineStr">
        <is>
          <t>Wouter/Kitty</t>
        </is>
      </c>
    </row>
    <row r="8">
      <c r="A8" s="5" t="inlineStr">
        <is>
          <t>4</t>
        </is>
      </c>
      <c r="B8" s="5" t="inlineStr">
        <is>
          <t>Gem. sales cycle</t>
        </is>
      </c>
      <c r="C8" s="6" t="inlineStr">
        <is>
          <t>?</t>
        </is>
      </c>
      <c r="D8" s="6" t="inlineStr">
        <is>
          <t>&lt;90 dagen</t>
        </is>
      </c>
      <c r="E8" s="7" t="inlineStr">
        <is>
          <t>⚠️</t>
        </is>
      </c>
      <c r="F8" s="5" t="inlineStr">
        <is>
          <t>Pipedrive</t>
        </is>
      </c>
      <c r="G8" s="5" t="inlineStr">
        <is>
          <t>Wouter/Kitty</t>
        </is>
      </c>
    </row>
    <row r="9">
      <c r="A9" s="5" t="inlineStr">
        <is>
          <t>5</t>
        </is>
      </c>
      <c r="B9" s="5" t="inlineStr">
        <is>
          <t>Pipeline value</t>
        </is>
      </c>
      <c r="C9" s="6" t="inlineStr">
        <is>
          <t>€478,044</t>
        </is>
      </c>
      <c r="D9" s="6" t="inlineStr">
        <is>
          <t>€2,368,000</t>
        </is>
      </c>
      <c r="E9" s="8" t="inlineStr">
        <is>
          <t>🔴</t>
        </is>
      </c>
      <c r="F9" s="5" t="inlineStr">
        <is>
          <t>Pipedrive</t>
        </is>
      </c>
      <c r="G9" s="5" t="inlineStr">
        <is>
          <t>Wouter/Kitty</t>
        </is>
      </c>
    </row>
    <row r="10">
      <c r="A10" s="5" t="inlineStr">
        <is>
          <t>6</t>
        </is>
      </c>
      <c r="B10" s="5" t="inlineStr">
        <is>
          <t>Deals won/maand</t>
        </is>
      </c>
      <c r="C10" s="6" t="inlineStr">
        <is>
          <t>0</t>
        </is>
      </c>
      <c r="D10" s="6" t="inlineStr">
        <is>
          <t>~1</t>
        </is>
      </c>
      <c r="E10" s="7" t="inlineStr">
        <is>
          <t>🟡</t>
        </is>
      </c>
      <c r="F10" s="5" t="inlineStr">
        <is>
          <t>Pipedrive</t>
        </is>
      </c>
      <c r="G10" s="5" t="inlineStr">
        <is>
          <t>Wouter/Kitty</t>
        </is>
      </c>
    </row>
    <row r="11">
      <c r="A11" s="5" t="inlineStr">
        <is>
          <t>7</t>
        </is>
      </c>
      <c r="B11" s="5" t="inlineStr">
        <is>
          <t>Avg deal size</t>
        </is>
      </c>
      <c r="C11" s="6" t="inlineStr">
        <is>
          <t>?</t>
        </is>
      </c>
      <c r="D11" s="6" t="inlineStr">
        <is>
          <t>€53,818</t>
        </is>
      </c>
      <c r="E11" s="7" t="inlineStr">
        <is>
          <t>⚠️</t>
        </is>
      </c>
      <c r="F11" s="5" t="inlineStr">
        <is>
          <t>Pipedrive</t>
        </is>
      </c>
      <c r="G11" s="5" t="inlineStr">
        <is>
          <t>Wouter/Kitty</t>
        </is>
      </c>
    </row>
    <row r="12">
      <c r="A12" s="5" t="inlineStr">
        <is>
          <t>8</t>
        </is>
      </c>
      <c r="B12" s="5" t="inlineStr">
        <is>
          <t>ICP match %</t>
        </is>
      </c>
      <c r="C12" s="6" t="inlineStr">
        <is>
          <t>?</t>
        </is>
      </c>
      <c r="D12" s="6" t="inlineStr">
        <is>
          <t>75%</t>
        </is>
      </c>
      <c r="E12" s="7" t="inlineStr">
        <is>
          <t>⚠️</t>
        </is>
      </c>
      <c r="F12" s="5" t="inlineStr">
        <is>
          <t>Pipedrive scoring</t>
        </is>
      </c>
      <c r="G12" s="5" t="inlineStr">
        <is>
          <t>Wouter</t>
        </is>
      </c>
    </row>
    <row r="13">
      <c r="A13" s="5" t="inlineStr">
        <is>
          <t>9</t>
        </is>
      </c>
      <c r="B13" s="5" t="inlineStr">
        <is>
          <t>Cost per deal</t>
        </is>
      </c>
      <c r="C13" s="6" t="inlineStr">
        <is>
          <t>?</t>
        </is>
      </c>
      <c r="D13" s="6" t="inlineStr">
        <is>
          <t>€1,109</t>
        </is>
      </c>
      <c r="E13" s="7" t="inlineStr">
        <is>
          <t>⚠️</t>
        </is>
      </c>
      <c r="F13" s="5" t="inlineStr">
        <is>
          <t>Marketing spend</t>
        </is>
      </c>
      <c r="G13" s="5" t="inlineStr">
        <is>
          <t>Wouter</t>
        </is>
      </c>
    </row>
    <row r="14">
      <c r="A14" s="5" t="inlineStr">
        <is>
          <t>10</t>
        </is>
      </c>
      <c r="B14" s="5" t="inlineStr">
        <is>
          <t>Marketing ROI</t>
        </is>
      </c>
      <c r="C14" s="6" t="inlineStr">
        <is>
          <t>?</t>
        </is>
      </c>
      <c r="D14" s="6" t="inlineStr">
        <is>
          <t>48x</t>
        </is>
      </c>
      <c r="E14" s="7" t="inlineStr">
        <is>
          <t>⚠️</t>
        </is>
      </c>
      <c r="F14" s="5" t="inlineStr">
        <is>
          <t>Calculation</t>
        </is>
      </c>
      <c r="G14" s="5" t="inlineStr">
        <is>
          <t>Wouter</t>
        </is>
      </c>
    </row>
    <row r="17">
      <c r="A17" s="9" t="inlineStr">
        <is>
          <t>📊 LEAD SOURCES - WEEKLY TARGETS</t>
        </is>
      </c>
    </row>
    <row r="18">
      <c r="A18" s="10" t="inlineStr">
        <is>
          <t>Source</t>
        </is>
      </c>
      <c r="B18" t="inlineStr">
        <is>
          <t>Leads/Week</t>
        </is>
      </c>
      <c r="C18" t="inlineStr">
        <is>
          <t>ICP %</t>
        </is>
      </c>
      <c r="D18" t="inlineStr">
        <is>
          <t>Cost/Lead</t>
        </is>
      </c>
      <c r="E18" t="inlineStr">
        <is>
          <t>Notes</t>
        </is>
      </c>
    </row>
    <row r="19">
      <c r="A19" s="5" t="inlineStr">
        <is>
          <t>JobDigger</t>
        </is>
      </c>
      <c r="B19" s="6" t="inlineStr">
        <is>
          <t>8-12</t>
        </is>
      </c>
      <c r="C19" s="5" t="inlineStr">
        <is>
          <t>40%</t>
        </is>
      </c>
      <c r="D19" s="6" t="inlineStr">
        <is>
          <t>€0</t>
        </is>
      </c>
      <c r="E19" s="5" t="inlineStr">
        <is>
          <t>Daily scraping</t>
        </is>
      </c>
    </row>
    <row r="20">
      <c r="A20" s="5" t="inlineStr">
        <is>
          <t>LinkedIn</t>
        </is>
      </c>
      <c r="B20" s="6" t="inlineStr">
        <is>
          <t>3-4</t>
        </is>
      </c>
      <c r="C20" s="5" t="inlineStr">
        <is>
          <t>60%</t>
        </is>
      </c>
      <c r="D20" s="6" t="inlineStr">
        <is>
          <t>€0</t>
        </is>
      </c>
      <c r="E20" s="5" t="inlineStr">
        <is>
          <t>Outreach campaign</t>
        </is>
      </c>
    </row>
    <row r="21">
      <c r="A21" s="5" t="inlineStr">
        <is>
          <t>Website</t>
        </is>
      </c>
      <c r="B21" s="6" t="inlineStr">
        <is>
          <t>1-2</t>
        </is>
      </c>
      <c r="C21" s="5" t="inlineStr">
        <is>
          <t>70%</t>
        </is>
      </c>
      <c r="D21" s="6" t="inlineStr">
        <is>
          <t>€150</t>
        </is>
      </c>
      <c r="E21" s="5" t="inlineStr">
        <is>
          <t>SEO/paid ads</t>
        </is>
      </c>
    </row>
    <row r="22">
      <c r="A22" s="5" t="inlineStr">
        <is>
          <t>Referrals</t>
        </is>
      </c>
      <c r="B22" s="6" t="inlineStr">
        <is>
          <t>0-1</t>
        </is>
      </c>
      <c r="C22" s="5" t="inlineStr">
        <is>
          <t>80%</t>
        </is>
      </c>
      <c r="D22" s="6" t="inlineStr">
        <is>
          <t>€0</t>
        </is>
      </c>
      <c r="E22" s="5" t="inlineStr">
        <is>
          <t>Client intros</t>
        </is>
      </c>
    </row>
    <row r="23">
      <c r="A23" s="5" t="inlineStr">
        <is>
          <t>Events</t>
        </is>
      </c>
      <c r="B23" s="6" t="inlineStr">
        <is>
          <t>0-1</t>
        </is>
      </c>
      <c r="C23" s="5" t="inlineStr">
        <is>
          <t>50%</t>
        </is>
      </c>
      <c r="D23" s="6" t="inlineStr">
        <is>
          <t>€200</t>
        </is>
      </c>
      <c r="E23" s="5" t="inlineStr">
        <is>
          <t>Quarterly</t>
        </is>
      </c>
    </row>
    <row r="24">
      <c r="A24" s="5" t="inlineStr">
        <is>
          <t>Cold Outreach</t>
        </is>
      </c>
      <c r="B24" s="6" t="inlineStr">
        <is>
          <t>1-2</t>
        </is>
      </c>
      <c r="C24" s="5" t="inlineStr">
        <is>
          <t>30%</t>
        </is>
      </c>
      <c r="D24" s="6" t="inlineStr">
        <is>
          <t>€50</t>
        </is>
      </c>
      <c r="E24" s="5" t="inlineStr">
        <is>
          <t>Apollo/email</t>
        </is>
      </c>
    </row>
    <row r="25">
      <c r="A25" s="5" t="inlineStr">
        <is>
          <t>Partnerships</t>
        </is>
      </c>
      <c r="B25" s="6" t="inlineStr">
        <is>
          <t>0-1</t>
        </is>
      </c>
      <c r="C25" s="5" t="inlineStr">
        <is>
          <t>60%</t>
        </is>
      </c>
      <c r="D25" s="6" t="inlineStr">
        <is>
          <t>€0</t>
        </is>
      </c>
      <c r="E25" s="5" t="inlineStr">
        <is>
          <t>Strategic</t>
        </is>
      </c>
    </row>
    <row r="26">
      <c r="A26" s="5" t="inlineStr">
        <is>
          <t>Inbound</t>
        </is>
      </c>
      <c r="B26" s="6" t="inlineStr">
        <is>
          <t>0-1</t>
        </is>
      </c>
      <c r="C26" s="5" t="inlineStr">
        <is>
          <t>50%</t>
        </is>
      </c>
      <c r="D26" s="6" t="inlineStr">
        <is>
          <t>€100</t>
        </is>
      </c>
      <c r="E26" s="5" t="inlineStr">
        <is>
          <t>Content marketing</t>
        </is>
      </c>
    </row>
  </sheetData>
  <mergeCells count="2">
    <mergeCell ref="A1:J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0" customWidth="1" min="5" max="5"/>
    <col width="25" customWidth="1" min="6" max="6"/>
    <col width="15" customWidth="1" min="7" max="7"/>
  </cols>
  <sheetData>
    <row r="1">
      <c r="A1" s="1" t="inlineStr">
        <is>
          <t>TOP 10 RECRUITER &amp; OPERATION KPIs</t>
        </is>
      </c>
    </row>
    <row r="4">
      <c r="A4" s="10" t="inlineStr">
        <is>
          <t>#</t>
        </is>
      </c>
      <c r="B4" t="inlineStr">
        <is>
          <t>KPI</t>
        </is>
      </c>
      <c r="C4" t="inlineStr">
        <is>
          <t>Current</t>
        </is>
      </c>
      <c r="D4" t="inlineStr">
        <is>
          <t>Target</t>
        </is>
      </c>
      <c r="E4" t="inlineStr">
        <is>
          <t>Status</t>
        </is>
      </c>
      <c r="F4" t="inlineStr">
        <is>
          <t>Bron</t>
        </is>
      </c>
      <c r="G4" t="inlineStr">
        <is>
          <t>Owner</t>
        </is>
      </c>
    </row>
    <row r="5">
      <c r="A5" s="5" t="inlineStr">
        <is>
          <t>1</t>
        </is>
      </c>
      <c r="B5" s="5" t="inlineStr">
        <is>
          <t>Plaatsingen/recruiter</t>
        </is>
      </c>
      <c r="C5" s="6" t="inlineStr">
        <is>
          <t>?</t>
        </is>
      </c>
      <c r="D5" s="6" t="inlineStr">
        <is>
          <t>2/maand (24/jaar)</t>
        </is>
      </c>
      <c r="E5" s="7" t="inlineStr">
        <is>
          <t>⚠️</t>
        </is>
      </c>
      <c r="F5" s="5" t="inlineStr">
        <is>
          <t>Carerix</t>
        </is>
      </c>
      <c r="G5" s="5" t="inlineStr">
        <is>
          <t>Recruiters</t>
        </is>
      </c>
    </row>
    <row r="6">
      <c r="A6" s="5" t="inlineStr">
        <is>
          <t>2</t>
        </is>
      </c>
      <c r="B6" s="5" t="inlineStr">
        <is>
          <t>Omzet/recruiter</t>
        </is>
      </c>
      <c r="C6" s="6" t="inlineStr">
        <is>
          <t>?</t>
        </is>
      </c>
      <c r="D6" s="6" t="inlineStr">
        <is>
          <t>€34k/mnd (€406k/jr)</t>
        </is>
      </c>
      <c r="E6" s="7" t="inlineStr">
        <is>
          <t>⚠️</t>
        </is>
      </c>
      <c r="F6" s="5" t="inlineStr">
        <is>
          <t>Financieel</t>
        </is>
      </c>
      <c r="G6" s="5" t="inlineStr">
        <is>
          <t>Kitty</t>
        </is>
      </c>
    </row>
    <row r="7">
      <c r="A7" s="5" t="inlineStr">
        <is>
          <t>3</t>
        </is>
      </c>
      <c r="B7" s="5" t="inlineStr">
        <is>
          <t>Time to Fill (TTF)</t>
        </is>
      </c>
      <c r="C7" s="6" t="inlineStr">
        <is>
          <t>?</t>
        </is>
      </c>
      <c r="D7" s="6" t="inlineStr">
        <is>
          <t>&lt;8 weken</t>
        </is>
      </c>
      <c r="E7" s="7" t="inlineStr">
        <is>
          <t>⚠️</t>
        </is>
      </c>
      <c r="F7" s="5" t="inlineStr">
        <is>
          <t>Carerix</t>
        </is>
      </c>
      <c r="G7" s="5" t="inlineStr">
        <is>
          <t>Recruiters</t>
        </is>
      </c>
    </row>
    <row r="8">
      <c r="A8" s="5" t="inlineStr">
        <is>
          <t>4</t>
        </is>
      </c>
      <c r="B8" s="5" t="inlineStr">
        <is>
          <t>Time to Hire (TTH)</t>
        </is>
      </c>
      <c r="C8" s="6" t="inlineStr">
        <is>
          <t>?</t>
        </is>
      </c>
      <c r="D8" s="6" t="inlineStr">
        <is>
          <t>&lt;12 weken</t>
        </is>
      </c>
      <c r="E8" s="7" t="inlineStr">
        <is>
          <t>⚠️</t>
        </is>
      </c>
      <c r="F8" s="5" t="inlineStr">
        <is>
          <t>Carerix</t>
        </is>
      </c>
      <c r="G8" s="5" t="inlineStr">
        <is>
          <t>Kitty</t>
        </is>
      </c>
    </row>
    <row r="9">
      <c r="A9" s="5" t="inlineStr">
        <is>
          <t>5</t>
        </is>
      </c>
      <c r="B9" s="5" t="inlineStr">
        <is>
          <t>Candidate conversion %</t>
        </is>
      </c>
      <c r="C9" s="6" t="inlineStr">
        <is>
          <t>?</t>
        </is>
      </c>
      <c r="D9" s="6" t="inlineStr">
        <is>
          <t>25% (sourced→hired)</t>
        </is>
      </c>
      <c r="E9" s="7" t="inlineStr">
        <is>
          <t>⚠️</t>
        </is>
      </c>
      <c r="F9" s="5" t="inlineStr">
        <is>
          <t>Carerix funnel</t>
        </is>
      </c>
      <c r="G9" s="5" t="inlineStr">
        <is>
          <t>Recruiters</t>
        </is>
      </c>
    </row>
    <row r="10">
      <c r="A10" s="5" t="inlineStr">
        <is>
          <t>6</t>
        </is>
      </c>
      <c r="B10" s="5" t="inlineStr">
        <is>
          <t>Interview-to-offer ratio</t>
        </is>
      </c>
      <c r="C10" s="6" t="inlineStr">
        <is>
          <t>?</t>
        </is>
      </c>
      <c r="D10" s="6" t="inlineStr">
        <is>
          <t>3:1</t>
        </is>
      </c>
      <c r="E10" s="7" t="inlineStr">
        <is>
          <t>⚠️</t>
        </is>
      </c>
      <c r="F10" s="5" t="inlineStr">
        <is>
          <t>Carerix</t>
        </is>
      </c>
      <c r="G10" s="5" t="inlineStr">
        <is>
          <t>Recruiters</t>
        </is>
      </c>
    </row>
    <row r="11">
      <c r="A11" s="5" t="inlineStr">
        <is>
          <t>7</t>
        </is>
      </c>
      <c r="B11" s="5" t="inlineStr">
        <is>
          <t>Vacature fill rate %</t>
        </is>
      </c>
      <c r="C11" s="6" t="inlineStr">
        <is>
          <t>?</t>
        </is>
      </c>
      <c r="D11" s="6" t="inlineStr">
        <is>
          <t>95%</t>
        </is>
      </c>
      <c r="E11" s="7" t="inlineStr">
        <is>
          <t>⚠️</t>
        </is>
      </c>
      <c r="F11" s="5" t="inlineStr">
        <is>
          <t>Carerix</t>
        </is>
      </c>
      <c r="G11" s="5" t="inlineStr">
        <is>
          <t>Kitty</t>
        </is>
      </c>
    </row>
    <row r="12">
      <c r="A12" s="5" t="inlineStr">
        <is>
          <t>8</t>
        </is>
      </c>
      <c r="B12" s="5" t="inlineStr">
        <is>
          <t>Source quality %</t>
        </is>
      </c>
      <c r="C12" s="6" t="inlineStr">
        <is>
          <t>?</t>
        </is>
      </c>
      <c r="D12" s="6" t="inlineStr">
        <is>
          <t>15%</t>
        </is>
      </c>
      <c r="E12" s="7" t="inlineStr">
        <is>
          <t>⚠️</t>
        </is>
      </c>
      <c r="F12" s="5" t="inlineStr">
        <is>
          <t>Source tracking</t>
        </is>
      </c>
      <c r="G12" s="5" t="inlineStr">
        <is>
          <t>Wouter</t>
        </is>
      </c>
    </row>
    <row r="13">
      <c r="A13" s="5" t="inlineStr">
        <is>
          <t>9</t>
        </is>
      </c>
      <c r="B13" s="5" t="inlineStr">
        <is>
          <t>Candidate CSAT</t>
        </is>
      </c>
      <c r="C13" s="6" t="inlineStr">
        <is>
          <t>?</t>
        </is>
      </c>
      <c r="D13" s="6" t="inlineStr">
        <is>
          <t>≥8.0/10</t>
        </is>
      </c>
      <c r="E13" s="7" t="inlineStr">
        <is>
          <t>⚠️</t>
        </is>
      </c>
      <c r="F13" s="5" t="inlineStr">
        <is>
          <t>Post-placement</t>
        </is>
      </c>
      <c r="G13" s="5" t="inlineStr">
        <is>
          <t>Kitty</t>
        </is>
      </c>
    </row>
    <row r="14">
      <c r="A14" s="5" t="inlineStr">
        <is>
          <t>10</t>
        </is>
      </c>
      <c r="B14" s="5" t="inlineStr">
        <is>
          <t>Client NPS</t>
        </is>
      </c>
      <c r="C14" s="6" t="inlineStr">
        <is>
          <t>?</t>
        </is>
      </c>
      <c r="D14" s="6" t="inlineStr">
        <is>
          <t>≥8.5/10</t>
        </is>
      </c>
      <c r="E14" s="7" t="inlineStr">
        <is>
          <t>⚠️</t>
        </is>
      </c>
      <c r="F14" s="5" t="inlineStr">
        <is>
          <t>KTO quarterly</t>
        </is>
      </c>
      <c r="G14" s="5" t="inlineStr">
        <is>
          <t>Kitty</t>
        </is>
      </c>
    </row>
    <row r="17">
      <c r="A17" s="9" t="inlineStr">
        <is>
          <t>🔄 RECRUITMENT FUNNEL - PER RECRUITER/MAAND</t>
        </is>
      </c>
    </row>
    <row r="18">
      <c r="A18" s="10" t="inlineStr">
        <is>
          <t>Stage</t>
        </is>
      </c>
      <c r="B18" t="inlineStr">
        <is>
          <t>Target/mnd</t>
        </is>
      </c>
      <c r="C18" t="inlineStr">
        <is>
          <t>Conversie %</t>
        </is>
      </c>
      <c r="D18" t="inlineStr">
        <is>
          <t>Notes</t>
        </is>
      </c>
    </row>
    <row r="19">
      <c r="A19" s="5" t="inlineStr">
        <is>
          <t>Kandidaten Sourced</t>
        </is>
      </c>
      <c r="B19" s="6" t="inlineStr">
        <is>
          <t>68</t>
        </is>
      </c>
      <c r="C19" s="5" t="inlineStr">
        <is>
          <t>100%</t>
        </is>
      </c>
      <c r="D19" s="5" t="inlineStr">
        <is>
          <t>3-4 per dag active sourcing</t>
        </is>
      </c>
    </row>
    <row r="20">
      <c r="A20" s="5" t="inlineStr">
        <is>
          <t>Kandidaten Screened</t>
        </is>
      </c>
      <c r="B20" s="6" t="inlineStr">
        <is>
          <t>20</t>
        </is>
      </c>
      <c r="C20" s="5" t="inlineStr">
        <is>
          <t>30%</t>
        </is>
      </c>
      <c r="D20" s="5" t="inlineStr">
        <is>
          <t>Phone/video screening</t>
        </is>
      </c>
    </row>
    <row r="21">
      <c r="A21" s="5" t="inlineStr">
        <is>
          <t>Kandidaten Submitted</t>
        </is>
      </c>
      <c r="B21" s="6" t="inlineStr">
        <is>
          <t>14</t>
        </is>
      </c>
      <c r="C21" s="5" t="inlineStr">
        <is>
          <t>70%</t>
        </is>
      </c>
      <c r="D21" s="5" t="inlineStr">
        <is>
          <t>To client review</t>
        </is>
      </c>
    </row>
    <row r="22">
      <c r="A22" s="5" t="inlineStr">
        <is>
          <t>Interviews</t>
        </is>
      </c>
      <c r="B22" s="6" t="inlineStr">
        <is>
          <t>7</t>
        </is>
      </c>
      <c r="C22" s="5" t="inlineStr">
        <is>
          <t>50%</t>
        </is>
      </c>
      <c r="D22" s="5" t="inlineStr">
        <is>
          <t>Client interview stage</t>
        </is>
      </c>
    </row>
    <row r="23">
      <c r="A23" s="5" t="inlineStr">
        <is>
          <t>Offers</t>
        </is>
      </c>
      <c r="B23" s="6" t="inlineStr">
        <is>
          <t>2</t>
        </is>
      </c>
      <c r="C23" s="5" t="inlineStr">
        <is>
          <t>33%</t>
        </is>
      </c>
      <c r="D23" s="5" t="inlineStr">
        <is>
          <t>3:1 interview ratio</t>
        </is>
      </c>
    </row>
    <row r="24">
      <c r="A24" s="15" t="inlineStr">
        <is>
          <t>Placements</t>
        </is>
      </c>
      <c r="B24" s="16" t="inlineStr">
        <is>
          <t>2</t>
        </is>
      </c>
      <c r="C24" s="15" t="inlineStr">
        <is>
          <t>85%</t>
        </is>
      </c>
      <c r="D24" s="15" t="inlineStr">
        <is>
          <t>Final goal</t>
        </is>
      </c>
    </row>
    <row r="25">
      <c r="A25" s="5" t="inlineStr"/>
      <c r="B25" s="6" t="inlineStr"/>
      <c r="C25" s="5" t="inlineStr">
        <is>
          <t>2.5%</t>
        </is>
      </c>
      <c r="D25" s="5" t="inlineStr">
        <is>
          <t>Overall sourced→hired conversion</t>
        </is>
      </c>
    </row>
  </sheetData>
  <mergeCells count="2">
    <mergeCell ref="A1:J1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INDUSTRY BENCHMARKS - RECRUITIN vs MARKT</t>
        </is>
      </c>
    </row>
    <row r="4">
      <c r="A4" s="17" t="inlineStr">
        <is>
          <t>SALES METRICS</t>
        </is>
      </c>
    </row>
    <row r="5">
      <c r="A5" s="10" t="inlineStr">
        <is>
          <t>Metric</t>
        </is>
      </c>
      <c r="B5" t="inlineStr">
        <is>
          <t>Recruitin</t>
        </is>
      </c>
      <c r="C5" t="inlineStr">
        <is>
          <t>Industry Avg</t>
        </is>
      </c>
      <c r="D5" t="inlineStr">
        <is>
          <t>Best-in-Class</t>
        </is>
      </c>
      <c r="E5" t="inlineStr">
        <is>
          <t>Status</t>
        </is>
      </c>
    </row>
    <row r="6">
      <c r="A6" s="5" t="inlineStr">
        <is>
          <t>Nieuwe leads/maand</t>
        </is>
      </c>
      <c r="B6" s="5" t="inlineStr">
        <is>
          <t>13-17 (ICP)</t>
        </is>
      </c>
      <c r="C6" s="5" t="inlineStr">
        <is>
          <t>10-20</t>
        </is>
      </c>
      <c r="D6" s="5" t="inlineStr">
        <is>
          <t>&gt;25</t>
        </is>
      </c>
      <c r="E6" s="5" t="inlineStr">
        <is>
          <t>Above avg (focus)</t>
        </is>
      </c>
    </row>
    <row r="7">
      <c r="A7" s="5" t="inlineStr">
        <is>
          <t>Lead → Meeting %</t>
        </is>
      </c>
      <c r="B7" s="5" t="inlineStr">
        <is>
          <t>30%</t>
        </is>
      </c>
      <c r="C7" s="5" t="inlineStr">
        <is>
          <t>20-35%</t>
        </is>
      </c>
      <c r="D7" s="5" t="inlineStr">
        <is>
          <t>&gt;40%</t>
        </is>
      </c>
      <c r="E7" s="5" t="inlineStr">
        <is>
          <t>Above avg</t>
        </is>
      </c>
    </row>
    <row r="8">
      <c r="A8" s="5" t="inlineStr">
        <is>
          <t>Meeting → Deal %</t>
        </is>
      </c>
      <c r="B8" s="5" t="inlineStr">
        <is>
          <t>40%</t>
        </is>
      </c>
      <c r="C8" s="5" t="inlineStr">
        <is>
          <t>30-50%</t>
        </is>
      </c>
      <c r="D8" s="5" t="inlineStr">
        <is>
          <t>&gt;50%</t>
        </is>
      </c>
      <c r="E8" s="5" t="inlineStr">
        <is>
          <t>Above avg</t>
        </is>
      </c>
    </row>
    <row r="9">
      <c r="A9" s="5" t="inlineStr">
        <is>
          <t>Sales cycle</t>
        </is>
      </c>
      <c r="B9" s="5" t="inlineStr">
        <is>
          <t>&lt;90d</t>
        </is>
      </c>
      <c r="C9" s="5" t="inlineStr">
        <is>
          <t>60-120d</t>
        </is>
      </c>
      <c r="D9" s="5" t="inlineStr">
        <is>
          <t>&lt;60d</t>
        </is>
      </c>
      <c r="E9" s="5" t="inlineStr">
        <is>
          <t>Average</t>
        </is>
      </c>
    </row>
    <row r="10">
      <c r="A10" s="5" t="inlineStr">
        <is>
          <t>Pipeline coverage</t>
        </is>
      </c>
      <c r="B10" s="5" t="inlineStr">
        <is>
          <t>4x</t>
        </is>
      </c>
      <c r="C10" s="5" t="inlineStr">
        <is>
          <t>3-5x</t>
        </is>
      </c>
      <c r="D10" s="5" t="inlineStr">
        <is>
          <t>&gt;5x</t>
        </is>
      </c>
      <c r="E10" s="5" t="inlineStr">
        <is>
          <t>Above avg</t>
        </is>
      </c>
    </row>
    <row r="13">
      <c r="A13" s="17" t="inlineStr">
        <is>
          <t>RECRUITMENT METRICS</t>
        </is>
      </c>
    </row>
    <row r="14">
      <c r="A14" s="10" t="inlineStr">
        <is>
          <t>Metric</t>
        </is>
      </c>
      <c r="B14" t="inlineStr">
        <is>
          <t>Recruitin</t>
        </is>
      </c>
      <c r="C14" t="inlineStr">
        <is>
          <t>Industry Avg</t>
        </is>
      </c>
      <c r="D14" t="inlineStr">
        <is>
          <t>Best-in-Class</t>
        </is>
      </c>
      <c r="E14" t="inlineStr">
        <is>
          <t>Status</t>
        </is>
      </c>
    </row>
    <row r="15">
      <c r="A15" s="5" t="inlineStr">
        <is>
          <t>Plaatsingen/jaar</t>
        </is>
      </c>
      <c r="B15" s="5" t="inlineStr">
        <is>
          <t>24</t>
        </is>
      </c>
      <c r="C15" s="5" t="inlineStr">
        <is>
          <t>18-25</t>
        </is>
      </c>
      <c r="D15" s="5" t="inlineStr">
        <is>
          <t>&gt;30</t>
        </is>
      </c>
      <c r="E15" s="5" t="inlineStr">
        <is>
          <t>Above avg</t>
        </is>
      </c>
    </row>
    <row r="16">
      <c r="A16" s="5" t="inlineStr">
        <is>
          <t>Omzet/recruiter</t>
        </is>
      </c>
      <c r="B16" s="5" t="inlineStr">
        <is>
          <t>€406k</t>
        </is>
      </c>
      <c r="C16" s="5" t="inlineStr">
        <is>
          <t>€200-350k</t>
        </is>
      </c>
      <c r="D16" s="5" t="inlineStr">
        <is>
          <t>&gt;€500k</t>
        </is>
      </c>
      <c r="E16" s="5" t="inlineStr">
        <is>
          <t>Above avg (RPO/W&amp;S)</t>
        </is>
      </c>
    </row>
    <row r="17">
      <c r="A17" s="5" t="inlineStr">
        <is>
          <t>Time to Fill</t>
        </is>
      </c>
      <c r="B17" s="5" t="inlineStr">
        <is>
          <t>&lt;8w</t>
        </is>
      </c>
      <c r="C17" s="5" t="inlineStr">
        <is>
          <t>6-10w</t>
        </is>
      </c>
      <c r="D17" s="5" t="inlineStr">
        <is>
          <t>&lt;6w</t>
        </is>
      </c>
      <c r="E17" s="5" t="inlineStr">
        <is>
          <t>Average (technical)</t>
        </is>
      </c>
    </row>
    <row r="18">
      <c r="A18" s="5" t="inlineStr">
        <is>
          <t>Time to Hire</t>
        </is>
      </c>
      <c r="B18" s="5" t="inlineStr">
        <is>
          <t>&lt;12w</t>
        </is>
      </c>
      <c r="C18" s="5" t="inlineStr">
        <is>
          <t>8-16w</t>
        </is>
      </c>
      <c r="D18" s="5" t="inlineStr">
        <is>
          <t>&lt;8w</t>
        </is>
      </c>
      <c r="E18" s="5" t="inlineStr">
        <is>
          <t>Average</t>
        </is>
      </c>
    </row>
    <row r="19">
      <c r="A19" s="5" t="inlineStr">
        <is>
          <t>Candidate conversion</t>
        </is>
      </c>
      <c r="B19" s="5" t="inlineStr">
        <is>
          <t>25%</t>
        </is>
      </c>
      <c r="C19" s="5" t="inlineStr">
        <is>
          <t>15-25%</t>
        </is>
      </c>
      <c r="D19" s="5" t="inlineStr">
        <is>
          <t>&gt;30%</t>
        </is>
      </c>
      <c r="E19" s="5" t="inlineStr">
        <is>
          <t>Above avg</t>
        </is>
      </c>
    </row>
    <row r="20">
      <c r="A20" s="5" t="inlineStr">
        <is>
          <t>Interview ratio</t>
        </is>
      </c>
      <c r="B20" s="5" t="inlineStr">
        <is>
          <t>3:1</t>
        </is>
      </c>
      <c r="C20" s="5" t="inlineStr">
        <is>
          <t>4:1-6:1</t>
        </is>
      </c>
      <c r="D20" s="5" t="inlineStr">
        <is>
          <t>&lt;3:1</t>
        </is>
      </c>
      <c r="E20" s="5" t="inlineStr">
        <is>
          <t>Best-in-class</t>
        </is>
      </c>
    </row>
    <row r="21">
      <c r="A21" s="5" t="inlineStr">
        <is>
          <t>Client NPS</t>
        </is>
      </c>
      <c r="B21" s="5" t="inlineStr">
        <is>
          <t>≥8.5</t>
        </is>
      </c>
      <c r="C21" s="5" t="inlineStr">
        <is>
          <t>7.5-8.5</t>
        </is>
      </c>
      <c r="D21" s="5" t="inlineStr">
        <is>
          <t>&gt;9.0</t>
        </is>
      </c>
      <c r="E21" s="5" t="inlineStr">
        <is>
          <t>Above avg</t>
        </is>
      </c>
    </row>
  </sheetData>
  <mergeCells count="3">
    <mergeCell ref="A1:J1"/>
    <mergeCell ref="A4:E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Q1 2026 TARGETS &amp; SUCCESS CRITERIA</t>
        </is>
      </c>
    </row>
    <row r="4">
      <c r="A4" s="9" t="inlineStr">
        <is>
          <t>📅 MONTHLY BREAKDOWN</t>
        </is>
      </c>
    </row>
    <row r="5">
      <c r="A5" s="10" t="inlineStr">
        <is>
          <t>Metric</t>
        </is>
      </c>
      <c r="B5" t="inlineStr">
        <is>
          <t>Jan</t>
        </is>
      </c>
      <c r="C5" t="inlineStr">
        <is>
          <t>Feb</t>
        </is>
      </c>
      <c r="D5" t="inlineStr">
        <is>
          <t>Mar</t>
        </is>
      </c>
      <c r="E5" t="inlineStr">
        <is>
          <t>Q1 Total</t>
        </is>
      </c>
      <c r="F5" t="inlineStr">
        <is>
          <t>Notes</t>
        </is>
      </c>
    </row>
    <row r="6">
      <c r="A6" s="5" t="inlineStr">
        <is>
          <t>ICP Leads</t>
        </is>
      </c>
      <c r="B6" s="6" t="inlineStr">
        <is>
          <t>13-17</t>
        </is>
      </c>
      <c r="C6" s="6" t="inlineStr">
        <is>
          <t>13-17</t>
        </is>
      </c>
      <c r="D6" s="6" t="inlineStr">
        <is>
          <t>13-17</t>
        </is>
      </c>
      <c r="E6" s="6" t="inlineStr">
        <is>
          <t>38-51</t>
        </is>
      </c>
      <c r="F6" s="5" t="inlineStr">
        <is>
          <t>Quality focus</t>
        </is>
      </c>
    </row>
    <row r="7">
      <c r="A7" s="5" t="inlineStr">
        <is>
          <t>Meetings</t>
        </is>
      </c>
      <c r="B7" s="6" t="inlineStr">
        <is>
          <t>4</t>
        </is>
      </c>
      <c r="C7" s="6" t="inlineStr">
        <is>
          <t>4</t>
        </is>
      </c>
      <c r="D7" s="6" t="inlineStr">
        <is>
          <t>4</t>
        </is>
      </c>
      <c r="E7" s="6" t="inlineStr">
        <is>
          <t>11-12</t>
        </is>
      </c>
      <c r="F7" s="5" t="inlineStr">
        <is>
          <t>30% conversie</t>
        </is>
      </c>
    </row>
    <row r="8">
      <c r="A8" s="5" t="inlineStr">
        <is>
          <t>Proposals</t>
        </is>
      </c>
      <c r="B8" s="6" t="inlineStr">
        <is>
          <t>2</t>
        </is>
      </c>
      <c r="C8" s="6" t="inlineStr">
        <is>
          <t>2</t>
        </is>
      </c>
      <c r="D8" s="6" t="inlineStr">
        <is>
          <t>3</t>
        </is>
      </c>
      <c r="E8" s="6" t="inlineStr">
        <is>
          <t>7-8</t>
        </is>
      </c>
      <c r="F8" s="5" t="inlineStr">
        <is>
          <t>60% conversie</t>
        </is>
      </c>
    </row>
    <row r="9">
      <c r="A9" s="5" t="inlineStr">
        <is>
          <t>Deals</t>
        </is>
      </c>
      <c r="B9" s="6" t="inlineStr">
        <is>
          <t>1</t>
        </is>
      </c>
      <c r="C9" s="6" t="inlineStr">
        <is>
          <t>1</t>
        </is>
      </c>
      <c r="D9" s="6" t="inlineStr">
        <is>
          <t>1</t>
        </is>
      </c>
      <c r="E9" s="6" t="inlineStr">
        <is>
          <t>2-3</t>
        </is>
      </c>
      <c r="F9" s="5" t="inlineStr">
        <is>
          <t>40% conversie</t>
        </is>
      </c>
    </row>
    <row r="10">
      <c r="A10" s="5" t="inlineStr">
        <is>
          <t>Placements</t>
        </is>
      </c>
      <c r="B10" s="6" t="inlineStr">
        <is>
          <t>6</t>
        </is>
      </c>
      <c r="C10" s="6" t="inlineStr">
        <is>
          <t>6</t>
        </is>
      </c>
      <c r="D10" s="6" t="inlineStr">
        <is>
          <t>6</t>
        </is>
      </c>
      <c r="E10" s="6" t="inlineStr">
        <is>
          <t>18</t>
        </is>
      </c>
      <c r="F10" s="5" t="inlineStr">
        <is>
          <t>6/maand target</t>
        </is>
      </c>
    </row>
    <row r="11">
      <c r="A11" s="5" t="inlineStr">
        <is>
          <t>Omzet</t>
        </is>
      </c>
      <c r="B11" s="6" t="inlineStr">
        <is>
          <t>€70k</t>
        </is>
      </c>
      <c r="C11" s="6" t="inlineStr">
        <is>
          <t>€70k</t>
        </is>
      </c>
      <c r="D11" s="6" t="inlineStr">
        <is>
          <t>€70k</t>
        </is>
      </c>
      <c r="E11" s="6" t="inlineStr">
        <is>
          <t>€210k</t>
        </is>
      </c>
      <c r="F11" s="5" t="inlineStr">
        <is>
          <t>17% annual</t>
        </is>
      </c>
    </row>
    <row r="14">
      <c r="A14" s="18" t="inlineStr">
        <is>
          <t>✅ Q1 SUCCESS CRITERIA</t>
        </is>
      </c>
    </row>
    <row r="15">
      <c r="A15" s="19" t="inlineStr">
        <is>
          <t>TRACKING</t>
        </is>
      </c>
      <c r="B15" s="5" t="inlineStr">
        <is>
          <t>13 weken data in dashboards</t>
        </is>
      </c>
      <c r="C15" s="5" t="inlineStr">
        <is>
          <t>✓</t>
        </is>
      </c>
    </row>
    <row r="16">
      <c r="A16" s="19" t="inlineStr">
        <is>
          <t>TRACKING</t>
        </is>
      </c>
      <c r="B16" s="5" t="inlineStr">
        <is>
          <t>Alle leads getagd met source</t>
        </is>
      </c>
      <c r="C16" s="5" t="inlineStr">
        <is>
          <t>✓</t>
        </is>
      </c>
    </row>
    <row r="17">
      <c r="A17" s="19" t="inlineStr">
        <is>
          <t>TRACKING</t>
        </is>
      </c>
      <c r="B17" s="5" t="inlineStr">
        <is>
          <t>ICP scoring werkend</t>
        </is>
      </c>
      <c r="C17" s="5" t="inlineStr">
        <is>
          <t>✓</t>
        </is>
      </c>
    </row>
    <row r="18">
      <c r="A18" s="19" t="inlineStr">
        <is>
          <t>TRACKING</t>
        </is>
      </c>
      <c r="B18" s="5" t="inlineStr">
        <is>
          <t>Carerix funnel tracking live</t>
        </is>
      </c>
      <c r="C18" s="5" t="inlineStr">
        <is>
          <t>✓</t>
        </is>
      </c>
    </row>
    <row r="19">
      <c r="A19" s="5" t="inlineStr"/>
      <c r="B19" s="5" t="inlineStr"/>
      <c r="C19" s="5" t="inlineStr"/>
    </row>
    <row r="20">
      <c r="A20" s="19" t="inlineStr">
        <is>
          <t>RESULTS</t>
        </is>
      </c>
      <c r="B20" s="5" t="inlineStr">
        <is>
          <t>38-43 ICP leads</t>
        </is>
      </c>
      <c r="C20" s="5" t="inlineStr">
        <is>
          <t>✓</t>
        </is>
      </c>
    </row>
    <row r="21">
      <c r="A21" s="19" t="inlineStr">
        <is>
          <t>RESULTS</t>
        </is>
      </c>
      <c r="B21" s="5" t="inlineStr">
        <is>
          <t>11-12 meetings</t>
        </is>
      </c>
      <c r="C21" s="5" t="inlineStr">
        <is>
          <t>✓</t>
        </is>
      </c>
    </row>
    <row r="22">
      <c r="A22" s="19" t="inlineStr">
        <is>
          <t>RESULTS</t>
        </is>
      </c>
      <c r="B22" s="5" t="inlineStr">
        <is>
          <t>2-3 deals gesloten</t>
        </is>
      </c>
      <c r="C22" s="5" t="inlineStr">
        <is>
          <t>✓</t>
        </is>
      </c>
    </row>
    <row r="23">
      <c r="A23" s="19" t="inlineStr">
        <is>
          <t>RESULTS</t>
        </is>
      </c>
      <c r="B23" s="5" t="inlineStr">
        <is>
          <t>Pipeline €800k+</t>
        </is>
      </c>
      <c r="C23" s="5" t="inlineStr">
        <is>
          <t>✓</t>
        </is>
      </c>
    </row>
    <row r="24">
      <c r="A24" s="19" t="inlineStr">
        <is>
          <t>RESULTS</t>
        </is>
      </c>
      <c r="B24" s="5" t="inlineStr">
        <is>
          <t>18 placements</t>
        </is>
      </c>
      <c r="C24" s="5" t="inlineStr">
        <is>
          <t>✓</t>
        </is>
      </c>
    </row>
    <row r="25">
      <c r="A25" s="5" t="inlineStr"/>
      <c r="B25" s="5" t="inlineStr"/>
      <c r="C25" s="5" t="inlineStr"/>
    </row>
    <row r="26">
      <c r="A26" s="19" t="inlineStr">
        <is>
          <t>QUALITY</t>
        </is>
      </c>
      <c r="B26" s="5" t="inlineStr">
        <is>
          <t>Lead→Meeting ≥25%</t>
        </is>
      </c>
      <c r="C26" s="5" t="inlineStr">
        <is>
          <t>✓</t>
        </is>
      </c>
    </row>
    <row r="27">
      <c r="A27" s="19" t="inlineStr">
        <is>
          <t>QUALITY</t>
        </is>
      </c>
      <c r="B27" s="5" t="inlineStr">
        <is>
          <t>ICP percentage ≥70%</t>
        </is>
      </c>
      <c r="C27" s="5" t="inlineStr">
        <is>
          <t>✓</t>
        </is>
      </c>
    </row>
    <row r="28">
      <c r="A28" s="19" t="inlineStr">
        <is>
          <t>QUALITY</t>
        </is>
      </c>
      <c r="B28" s="5" t="inlineStr">
        <is>
          <t>TTH &lt;14 weken (ramp-up)</t>
        </is>
      </c>
      <c r="C28" s="5" t="inlineStr">
        <is>
          <t>✓</t>
        </is>
      </c>
    </row>
    <row r="29">
      <c r="A29" s="19" t="inlineStr">
        <is>
          <t>QUALITY</t>
        </is>
      </c>
      <c r="B29" s="5" t="inlineStr">
        <is>
          <t>Geen deals &gt;60d stuck</t>
        </is>
      </c>
      <c r="C29" s="5" t="inlineStr">
        <is>
          <t>✓</t>
        </is>
      </c>
    </row>
  </sheetData>
  <mergeCells count="3">
    <mergeCell ref="A14:F14"/>
    <mergeCell ref="A1:J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🔢 RAW DATA INPUT - UPDATE HIER JE CIJFERS</t>
        </is>
      </c>
    </row>
    <row r="2">
      <c r="A2" s="32" t="inlineStr">
        <is>
          <t>Laatste update: 12-01-2026 04:13 (AUTO via API)</t>
        </is>
      </c>
    </row>
    <row r="4">
      <c r="A4" s="33" t="inlineStr">
        <is>
          <t>📊 SALES DATA (Bron: Pipedrive)</t>
        </is>
      </c>
    </row>
    <row r="5">
      <c r="A5" s="10" t="inlineStr">
        <is>
          <t>Metric</t>
        </is>
      </c>
      <c r="B5" t="inlineStr">
        <is>
          <t>Current Value</t>
        </is>
      </c>
      <c r="C5" t="inlineStr">
        <is>
          <t>Target</t>
        </is>
      </c>
      <c r="D5" t="inlineStr">
        <is>
          <t>Waar te vinden in Pipedrive</t>
        </is>
      </c>
    </row>
    <row r="6">
      <c r="A6" s="5" t="inlineStr">
        <is>
          <t>Pipeline Value</t>
        </is>
      </c>
      <c r="B6" s="6" t="n">
        <v>478044</v>
      </c>
      <c r="C6" s="6" t="n">
        <v>2368000</v>
      </c>
      <c r="D6" s="5" t="inlineStr">
        <is>
          <t>Reports &gt; Pipeline Report &gt; Total Value</t>
        </is>
      </c>
    </row>
    <row r="7">
      <c r="A7" s="5" t="inlineStr">
        <is>
          <t>Deals Won MTD</t>
        </is>
      </c>
      <c r="B7" s="42" t="n">
        <v>478044</v>
      </c>
      <c r="C7" s="6" t="n">
        <v>1</v>
      </c>
      <c r="D7" s="5" t="inlineStr">
        <is>
          <t>Filters &gt; Status: Won &gt; This Month</t>
        </is>
      </c>
    </row>
    <row r="8">
      <c r="A8" s="5" t="inlineStr">
        <is>
          <t>Deals Won YTD</t>
        </is>
      </c>
      <c r="B8" s="42" t="n">
        <v>0</v>
      </c>
      <c r="C8" s="6" t="n">
        <v>11</v>
      </c>
      <c r="D8" s="5" t="inlineStr">
        <is>
          <t>Filters &gt; Status: Won &gt; This Year</t>
        </is>
      </c>
    </row>
    <row r="9">
      <c r="A9" s="5" t="inlineStr">
        <is>
          <t>Nieuwe Leads MTD</t>
        </is>
      </c>
      <c r="B9" s="43" t="n">
        <v>0</v>
      </c>
      <c r="C9" s="6" t="n">
        <v>13</v>
      </c>
      <c r="D9" s="5" t="inlineStr">
        <is>
          <t>Filters &gt; Created: This Month</t>
        </is>
      </c>
    </row>
    <row r="10">
      <c r="A10" s="5" t="inlineStr">
        <is>
          <t>Meetings MTD</t>
        </is>
      </c>
      <c r="B10" s="43" t="n">
        <v>23</v>
      </c>
      <c r="C10" s="6" t="n">
        <v>4</v>
      </c>
      <c r="D10" s="5" t="inlineStr">
        <is>
          <t>Activities &gt; Type: Meeting &gt; This Month</t>
        </is>
      </c>
    </row>
    <row r="11">
      <c r="A11" s="5" t="inlineStr">
        <is>
          <t>Proposals Sent MTD</t>
        </is>
      </c>
      <c r="B11" s="34">
        <f>INPUT!</f>
        <v/>
      </c>
      <c r="C11" s="6" t="n">
        <v>2</v>
      </c>
      <c r="D11" s="5" t="inlineStr">
        <is>
          <t>Activities &gt; Type: Proposal &gt; This Month</t>
        </is>
      </c>
    </row>
    <row r="12">
      <c r="A12" s="5" t="inlineStr">
        <is>
          <t>Avg Deal Size</t>
        </is>
      </c>
      <c r="B12" s="34">
        <f>INPUT!</f>
        <v/>
      </c>
      <c r="C12" s="6" t="n">
        <v>53818</v>
      </c>
      <c r="D12" s="5" t="inlineStr">
        <is>
          <t>Reports &gt; Deals Won &gt; Average Value</t>
        </is>
      </c>
    </row>
    <row r="13">
      <c r="A13" s="5" t="inlineStr">
        <is>
          <t>Avg Sales Cycle (dagen)</t>
        </is>
      </c>
      <c r="B13" s="43" t="n">
        <v>36080.71428571428</v>
      </c>
      <c r="C13" s="6" t="n">
        <v>90</v>
      </c>
      <c r="D13" s="5" t="inlineStr">
        <is>
          <t>Reports &gt; Deals Won &gt; Avg Days Open</t>
        </is>
      </c>
    </row>
    <row r="14">
      <c r="A14" s="5" t="inlineStr">
        <is>
          <t>Deals Stage 2 (&gt;14d)</t>
        </is>
      </c>
      <c r="B14" s="43" t="n">
        <v>27.25</v>
      </c>
      <c r="C14" s="6" t="n">
        <v>5</v>
      </c>
      <c r="D14" s="5" t="inlineStr">
        <is>
          <t>Filters &gt; Stage 2 + Updated &gt;14 days ago</t>
        </is>
      </c>
    </row>
    <row r="15">
      <c r="A15" s="5" t="inlineStr">
        <is>
          <t>Total Deals in Pipeline</t>
        </is>
      </c>
      <c r="B15" s="42" t="n">
        <v>147</v>
      </c>
      <c r="C15" s="6" t="n">
        <v>300</v>
      </c>
      <c r="D15" s="5" t="inlineStr">
        <is>
          <t>Filters &gt; Status: Open &gt; Count</t>
        </is>
      </c>
    </row>
    <row r="16">
      <c r="B16" s="44" t="n">
        <v>269</v>
      </c>
    </row>
    <row r="18">
      <c r="A18" s="33" t="inlineStr">
        <is>
          <t>📥 LEAD SOURCES - WEEK 2 (Bron: Pipedrive Tags)</t>
        </is>
      </c>
    </row>
    <row r="19">
      <c r="A19" s="10" t="inlineStr">
        <is>
          <t>Source</t>
        </is>
      </c>
      <c r="B19" t="inlineStr">
        <is>
          <t>Leads Deze Week</t>
        </is>
      </c>
      <c r="C19" t="inlineStr">
        <is>
          <t>Target/Week</t>
        </is>
      </c>
      <c r="D19" t="inlineStr">
        <is>
          <t>Hoe te tracken</t>
        </is>
      </c>
    </row>
    <row r="20">
      <c r="A20" s="5" t="inlineStr">
        <is>
          <t>JobDigger</t>
        </is>
      </c>
      <c r="B20" s="35">
        <f>INPUT!</f>
        <v/>
      </c>
      <c r="C20" s="5" t="inlineStr">
        <is>
          <t>8-12</t>
        </is>
      </c>
      <c r="D20" s="5" t="inlineStr">
        <is>
          <t>Tag: lead_source = JobDigger</t>
        </is>
      </c>
    </row>
    <row r="21">
      <c r="A21" s="5" t="inlineStr">
        <is>
          <t>LinkedIn</t>
        </is>
      </c>
      <c r="B21" s="35">
        <f>INPUT!</f>
        <v/>
      </c>
      <c r="C21" s="5" t="inlineStr">
        <is>
          <t>3-4</t>
        </is>
      </c>
      <c r="D21" s="5" t="inlineStr">
        <is>
          <t>Tag: lead_source = LinkedIn</t>
        </is>
      </c>
    </row>
    <row r="22">
      <c r="A22" s="5" t="inlineStr">
        <is>
          <t>Website</t>
        </is>
      </c>
      <c r="B22" s="35">
        <f>INPUT!</f>
        <v/>
      </c>
      <c r="C22" s="5" t="inlineStr">
        <is>
          <t>1-2</t>
        </is>
      </c>
      <c r="D22" s="5" t="inlineStr">
        <is>
          <t>Tag: lead_source = Website</t>
        </is>
      </c>
    </row>
    <row r="23">
      <c r="A23" s="5" t="inlineStr">
        <is>
          <t>Referrals</t>
        </is>
      </c>
      <c r="B23" s="35">
        <f>INPUT!</f>
        <v/>
      </c>
      <c r="C23" s="5" t="inlineStr">
        <is>
          <t>0-1</t>
        </is>
      </c>
      <c r="D23" s="5" t="inlineStr">
        <is>
          <t>Tag: lead_source = Referral</t>
        </is>
      </c>
    </row>
    <row r="24">
      <c r="A24" s="5" t="inlineStr">
        <is>
          <t>Events</t>
        </is>
      </c>
      <c r="B24" s="35">
        <f>INPUT!</f>
        <v/>
      </c>
      <c r="C24" s="5" t="inlineStr">
        <is>
          <t>0-1</t>
        </is>
      </c>
      <c r="D24" s="5" t="inlineStr">
        <is>
          <t>Tag: lead_source = Event</t>
        </is>
      </c>
    </row>
    <row r="25">
      <c r="A25" s="5" t="inlineStr">
        <is>
          <t>Cold Outreach</t>
        </is>
      </c>
      <c r="B25" s="35">
        <f>INPUT!</f>
        <v/>
      </c>
      <c r="C25" s="5" t="inlineStr">
        <is>
          <t>1-2</t>
        </is>
      </c>
      <c r="D25" s="5" t="inlineStr">
        <is>
          <t>Tag: lead_source = Cold</t>
        </is>
      </c>
    </row>
    <row r="26">
      <c r="A26" s="5" t="inlineStr">
        <is>
          <t>Partnerships</t>
        </is>
      </c>
      <c r="B26" s="35">
        <f>INPUT!</f>
        <v/>
      </c>
      <c r="C26" s="5" t="inlineStr">
        <is>
          <t>0-1</t>
        </is>
      </c>
      <c r="D26" s="5" t="inlineStr">
        <is>
          <t>Tag: lead_source = Partner</t>
        </is>
      </c>
    </row>
    <row r="27">
      <c r="A27" s="5" t="inlineStr">
        <is>
          <t>Inbound</t>
        </is>
      </c>
      <c r="B27" s="35">
        <f>INPUT!</f>
        <v/>
      </c>
      <c r="C27" s="5" t="inlineStr">
        <is>
          <t>0-1</t>
        </is>
      </c>
      <c r="D27" s="5" t="inlineStr">
        <is>
          <t>Tag: lead_source = Inbound</t>
        </is>
      </c>
    </row>
    <row r="30">
      <c r="A30" s="33" t="inlineStr">
        <is>
          <t>👥 RECRUITMENT DATA (Bron: Carerix)</t>
        </is>
      </c>
    </row>
    <row r="31">
      <c r="A31" s="10" t="inlineStr">
        <is>
          <t>Metric</t>
        </is>
      </c>
      <c r="B31" t="inlineStr">
        <is>
          <t>Current Value</t>
        </is>
      </c>
      <c r="C31" t="inlineStr">
        <is>
          <t>Target</t>
        </is>
      </c>
      <c r="D31" t="inlineStr">
        <is>
          <t>Waar te vinden in Carerix</t>
        </is>
      </c>
    </row>
    <row r="32">
      <c r="A32" s="5" t="inlineStr">
        <is>
          <t>Placements MTD</t>
        </is>
      </c>
      <c r="B32" s="34">
        <f>INPUT!</f>
        <v/>
      </c>
      <c r="C32" s="6" t="n">
        <v>6</v>
      </c>
      <c r="D32" s="5" t="inlineStr">
        <is>
          <t>Reports &gt; Placements &gt; This Month</t>
        </is>
      </c>
    </row>
    <row r="33">
      <c r="A33" s="5" t="inlineStr">
        <is>
          <t>Placements YTD</t>
        </is>
      </c>
      <c r="B33" s="34">
        <f>INPUT!</f>
        <v/>
      </c>
      <c r="C33" s="6" t="n">
        <v>72</v>
      </c>
      <c r="D33" s="5" t="inlineStr">
        <is>
          <t>Reports &gt; Placements &gt; This Year</t>
        </is>
      </c>
    </row>
    <row r="34">
      <c r="A34" s="5" t="inlineStr">
        <is>
          <t>Kandidaten Sourced MTD</t>
        </is>
      </c>
      <c r="B34" s="34">
        <f>INPUT!</f>
        <v/>
      </c>
      <c r="C34" s="6" t="n">
        <v>204</v>
      </c>
      <c r="D34" s="5" t="inlineStr">
        <is>
          <t>Reports &gt; Candidates Added &gt; This Month (68×3)</t>
        </is>
      </c>
    </row>
    <row r="35">
      <c r="A35" s="5" t="inlineStr">
        <is>
          <t>Kandidaten Screened MTD</t>
        </is>
      </c>
      <c r="B35" s="34">
        <f>INPUT!</f>
        <v/>
      </c>
      <c r="C35" s="6" t="n">
        <v>60</v>
      </c>
      <c r="D35" s="5" t="inlineStr">
        <is>
          <t>Stage: Screening &gt; This Month (20×3)</t>
        </is>
      </c>
    </row>
    <row r="36">
      <c r="A36" s="5" t="inlineStr">
        <is>
          <t>Kandidaten Submitted MTD</t>
        </is>
      </c>
      <c r="B36" s="34">
        <f>INPUT!</f>
        <v/>
      </c>
      <c r="C36" s="6" t="n">
        <v>42</v>
      </c>
      <c r="D36" s="5" t="inlineStr">
        <is>
          <t>Stage: Submitted &gt; This Month (14×3)</t>
        </is>
      </c>
    </row>
    <row r="37">
      <c r="A37" s="5" t="inlineStr">
        <is>
          <t>Interviews MTD</t>
        </is>
      </c>
      <c r="B37" s="34">
        <f>INPUT!</f>
        <v/>
      </c>
      <c r="C37" s="6" t="n">
        <v>21</v>
      </c>
      <c r="D37" s="5" t="inlineStr">
        <is>
          <t>Activities &gt; Interview &gt; This Month (7×3)</t>
        </is>
      </c>
    </row>
    <row r="38">
      <c r="A38" s="5" t="inlineStr">
        <is>
          <t>Offers MTD</t>
        </is>
      </c>
      <c r="B38" s="34">
        <f>INPUT!</f>
        <v/>
      </c>
      <c r="C38" s="6" t="n">
        <v>6</v>
      </c>
      <c r="D38" s="5" t="inlineStr">
        <is>
          <t>Stage: Offer &gt; This Month (2×3)</t>
        </is>
      </c>
    </row>
    <row r="39">
      <c r="A39" s="5" t="inlineStr">
        <is>
          <t>Avg TTF (weken)</t>
        </is>
      </c>
      <c r="B39" s="34">
        <f>INPUT!</f>
        <v/>
      </c>
      <c r="C39" s="6" t="n">
        <v>8</v>
      </c>
      <c r="D39" s="5" t="inlineStr">
        <is>
          <t>Custom Report: Avg Time Vacancy→Offer</t>
        </is>
      </c>
    </row>
    <row r="40">
      <c r="A40" s="5" t="inlineStr">
        <is>
          <t>Avg TTH (weken)</t>
        </is>
      </c>
      <c r="B40" s="34">
        <f>INPUT!</f>
        <v/>
      </c>
      <c r="C40" s="6" t="n">
        <v>12</v>
      </c>
      <c r="D40" s="5" t="inlineStr">
        <is>
          <t>Custom Report: Avg Time Vacancy→Start</t>
        </is>
      </c>
    </row>
    <row r="43">
      <c r="A43" s="33" t="inlineStr">
        <is>
          <t>⭐ CLIENT SATISFACTION (Bron: Typeform/Jotform)</t>
        </is>
      </c>
    </row>
    <row r="44">
      <c r="A44" s="10" t="inlineStr">
        <is>
          <t>Metric</t>
        </is>
      </c>
      <c r="B44" t="inlineStr">
        <is>
          <t>Current Value</t>
        </is>
      </c>
      <c r="C44" t="inlineStr">
        <is>
          <t>Target</t>
        </is>
      </c>
      <c r="D44" t="inlineStr">
        <is>
          <t>Hoe te meten</t>
        </is>
      </c>
    </row>
    <row r="45">
      <c r="A45" s="5" t="inlineStr">
        <is>
          <t>Candidate CSAT (avg)</t>
        </is>
      </c>
      <c r="B45" s="34">
        <f>INPUT!</f>
        <v/>
      </c>
      <c r="C45" s="6" t="n">
        <v>8</v>
      </c>
      <c r="D45" s="5" t="inlineStr">
        <is>
          <t>Jotform &gt; Post-placement enquête &gt; Average score</t>
        </is>
      </c>
    </row>
    <row r="46">
      <c r="A46" s="5" t="inlineStr">
        <is>
          <t>Client NPS (avg)</t>
        </is>
      </c>
      <c r="B46" s="34">
        <f>INPUT!</f>
        <v/>
      </c>
      <c r="C46" s="6" t="n">
        <v>8.5</v>
      </c>
      <c r="D46" s="5" t="inlineStr">
        <is>
          <t>Typeform &gt; KTO enquête &gt; Average score</t>
        </is>
      </c>
    </row>
    <row r="47">
      <c r="A47" s="5" t="inlineStr">
        <is>
          <t>Response Rate CSAT %</t>
        </is>
      </c>
      <c r="B47" s="34">
        <f>INPUT!</f>
        <v/>
      </c>
      <c r="C47" s="6" t="n">
        <v>80</v>
      </c>
      <c r="D47" s="5" t="inlineStr">
        <is>
          <t>Jotform &gt; Responses / Placements</t>
        </is>
      </c>
    </row>
    <row r="48">
      <c r="A48" s="5" t="inlineStr">
        <is>
          <t>Response Rate NPS %</t>
        </is>
      </c>
      <c r="B48" s="34">
        <f>INPUT!</f>
        <v/>
      </c>
      <c r="C48" s="6" t="n">
        <v>70</v>
      </c>
      <c r="D48" s="5" t="inlineStr">
        <is>
          <t>Typeform &gt; Responses / Clients</t>
        </is>
      </c>
    </row>
    <row r="51">
      <c r="A51" s="9" t="inlineStr">
        <is>
          <t>📝 INSTRUCTIES</t>
        </is>
      </c>
    </row>
    <row r="52">
      <c r="A52" s="36" t="inlineStr">
        <is>
          <t>1. Update GELE cellen (=INPUT!) elke vrijdag 15:00</t>
        </is>
      </c>
    </row>
    <row r="53">
      <c r="A53" s="36" t="inlineStr">
        <is>
          <t>2. Pipedrive data: Ga naar Reports &gt; gebruik filters voor deze maand</t>
        </is>
      </c>
    </row>
    <row r="54">
      <c r="A54" s="36" t="inlineStr">
        <is>
          <t>3. Carerix data: Ga naar Reports &gt; kies datum range</t>
        </is>
      </c>
    </row>
    <row r="55">
      <c r="A55" s="36" t="inlineStr">
        <is>
          <t>4. Lead Sources: Check Pipedrive tags of noteer handmatig</t>
        </is>
      </c>
    </row>
    <row r="56">
      <c r="A56" s="36" t="inlineStr">
        <is>
          <t>5. Satisfaction: Export Typeform/Jotform responses, bereken average</t>
        </is>
      </c>
    </row>
    <row r="57">
      <c r="A57" s="36" t="inlineStr">
        <is>
          <t>6. Na update: Ga naar Sheet 1 (Executive Dashboard) - cijfers updaten automatisch</t>
        </is>
      </c>
    </row>
    <row r="58">
      <c r="A58" s="36" t="inlineStr">
        <is>
          <t>7. TIP: Maak screenshots van Pipedrive reports als backup</t>
        </is>
      </c>
    </row>
  </sheetData>
  <mergeCells count="7">
    <mergeCell ref="A1:D1"/>
    <mergeCell ref="A18:D18"/>
    <mergeCell ref="A4:D4"/>
    <mergeCell ref="A30:D30"/>
    <mergeCell ref="A43:D43"/>
    <mergeCell ref="A2:D2"/>
    <mergeCell ref="A51:D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7" t="inlineStr">
        <is>
          <t>📅 WEEKLY TRACKING - 52 WEKEN OVERZICHT</t>
        </is>
      </c>
    </row>
    <row r="2">
      <c r="A2" s="32" t="inlineStr">
        <is>
          <t>Vul elke vrijdag de cijfers in - zie Data Input sheet voor bronnen</t>
        </is>
      </c>
    </row>
    <row r="4">
      <c r="A4" s="10" t="inlineStr">
        <is>
          <t>Week</t>
        </is>
      </c>
      <c r="B4" t="inlineStr">
        <is>
          <t>Datum</t>
        </is>
      </c>
      <c r="C4" t="inlineStr">
        <is>
          <t>Leads</t>
        </is>
      </c>
      <c r="D4" t="inlineStr">
        <is>
          <t>Meetings</t>
        </is>
      </c>
      <c r="E4" t="inlineStr">
        <is>
          <t>Proposals</t>
        </is>
      </c>
      <c r="F4" t="inlineStr">
        <is>
          <t>Deals</t>
        </is>
      </c>
      <c r="G4" t="inlineStr">
        <is>
          <t>Placements</t>
        </is>
      </c>
      <c r="H4" t="inlineStr">
        <is>
          <t>Pipeline €</t>
        </is>
      </c>
      <c r="I4" t="inlineStr">
        <is>
          <t>Lead→Mtg %</t>
        </is>
      </c>
      <c r="J4" t="inlineStr">
        <is>
          <t>Mtg→Prop %</t>
        </is>
      </c>
      <c r="K4" t="inlineStr">
        <is>
          <t>Prop→Deal %</t>
        </is>
      </c>
      <c r="L4" t="inlineStr">
        <is>
          <t>Notes</t>
        </is>
      </c>
    </row>
    <row r="5">
      <c r="A5" t="inlineStr">
        <is>
          <t>W2</t>
        </is>
      </c>
      <c r="B5" t="inlineStr">
        <is>
          <t>06-01</t>
        </is>
      </c>
      <c r="C5" s="38" t="n"/>
      <c r="D5" s="38" t="n"/>
      <c r="E5" s="38" t="n"/>
      <c r="F5" s="38" t="n"/>
      <c r="G5" s="38" t="n"/>
      <c r="H5" s="38" t="n"/>
      <c r="I5" s="5" t="n"/>
      <c r="J5" s="5" t="n"/>
      <c r="K5" s="5" t="n"/>
      <c r="L5" s="39" t="n"/>
    </row>
    <row r="6">
      <c r="A6" t="inlineStr">
        <is>
          <t>W3</t>
        </is>
      </c>
      <c r="B6" t="inlineStr">
        <is>
          <t>13-01</t>
        </is>
      </c>
      <c r="C6" s="38" t="n"/>
      <c r="D6" s="38" t="n"/>
      <c r="E6" s="38" t="n"/>
      <c r="F6" s="38" t="n"/>
      <c r="G6" s="38" t="n"/>
      <c r="H6" s="38" t="n"/>
      <c r="I6" s="5" t="n"/>
      <c r="J6" s="5" t="n"/>
      <c r="K6" s="5" t="n"/>
      <c r="L6" s="39" t="n"/>
    </row>
    <row r="7">
      <c r="A7" t="inlineStr">
        <is>
          <t>W4</t>
        </is>
      </c>
      <c r="B7" t="inlineStr">
        <is>
          <t>20-01</t>
        </is>
      </c>
      <c r="C7" s="38" t="n"/>
      <c r="D7" s="38" t="n"/>
      <c r="E7" s="38" t="n"/>
      <c r="F7" s="38" t="n"/>
      <c r="G7" s="38" t="n"/>
      <c r="H7" s="38" t="n"/>
      <c r="I7" s="5" t="n"/>
      <c r="J7" s="5" t="n"/>
      <c r="K7" s="5" t="n"/>
      <c r="L7" s="39" t="n"/>
    </row>
    <row r="8">
      <c r="A8" t="inlineStr">
        <is>
          <t>W5</t>
        </is>
      </c>
      <c r="B8" t="inlineStr">
        <is>
          <t>27-01</t>
        </is>
      </c>
      <c r="C8" s="38" t="n"/>
      <c r="D8" s="38" t="n"/>
      <c r="E8" s="38" t="n"/>
      <c r="F8" s="38" t="n"/>
      <c r="G8" s="38" t="n"/>
      <c r="H8" s="38" t="n"/>
      <c r="I8" s="5" t="n"/>
      <c r="J8" s="5" t="n"/>
      <c r="K8" s="5" t="n"/>
      <c r="L8" s="39" t="n"/>
    </row>
    <row r="9">
      <c r="A9" t="inlineStr">
        <is>
          <t>W6</t>
        </is>
      </c>
      <c r="B9" t="inlineStr">
        <is>
          <t>03-02</t>
        </is>
      </c>
      <c r="C9" s="38" t="n"/>
      <c r="D9" s="38" t="n"/>
      <c r="E9" s="38" t="n"/>
      <c r="F9" s="38" t="n"/>
      <c r="G9" s="38" t="n"/>
      <c r="H9" s="38" t="n"/>
      <c r="I9" s="5" t="n"/>
      <c r="J9" s="5" t="n"/>
      <c r="K9" s="5" t="n"/>
      <c r="L9" s="39" t="n"/>
    </row>
    <row r="10">
      <c r="A10" t="inlineStr">
        <is>
          <t>W7</t>
        </is>
      </c>
      <c r="B10" t="inlineStr">
        <is>
          <t>10-02</t>
        </is>
      </c>
      <c r="C10" s="38" t="n"/>
      <c r="D10" s="38" t="n"/>
      <c r="E10" s="38" t="n"/>
      <c r="F10" s="38" t="n"/>
      <c r="G10" s="38" t="n"/>
      <c r="H10" s="38" t="n"/>
      <c r="I10" s="5" t="n"/>
      <c r="J10" s="5" t="n"/>
      <c r="K10" s="5" t="n"/>
      <c r="L10" s="39" t="n"/>
    </row>
    <row r="11">
      <c r="A11" t="inlineStr">
        <is>
          <t>W8</t>
        </is>
      </c>
      <c r="B11" t="inlineStr">
        <is>
          <t>17-02</t>
        </is>
      </c>
      <c r="C11" s="38" t="n"/>
      <c r="D11" s="38" t="n"/>
      <c r="E11" s="38" t="n"/>
      <c r="F11" s="38" t="n"/>
      <c r="G11" s="38" t="n"/>
      <c r="H11" s="38" t="n"/>
      <c r="I11" s="5" t="n"/>
      <c r="J11" s="5" t="n"/>
      <c r="K11" s="5" t="n"/>
      <c r="L11" s="39" t="n"/>
    </row>
    <row r="12">
      <c r="A12" t="inlineStr">
        <is>
          <t>W9</t>
        </is>
      </c>
      <c r="B12" t="inlineStr">
        <is>
          <t>24-02</t>
        </is>
      </c>
      <c r="C12" s="38" t="n"/>
      <c r="D12" s="38" t="n"/>
      <c r="E12" s="38" t="n"/>
      <c r="F12" s="38" t="n"/>
      <c r="G12" s="38" t="n"/>
      <c r="H12" s="38" t="n"/>
      <c r="I12" s="5" t="n"/>
      <c r="J12" s="5" t="n"/>
      <c r="K12" s="5" t="n"/>
      <c r="L12" s="39" t="n"/>
    </row>
    <row r="13">
      <c r="A13" t="inlineStr">
        <is>
          <t>W10</t>
        </is>
      </c>
      <c r="B13" t="inlineStr">
        <is>
          <t>03-03</t>
        </is>
      </c>
      <c r="C13" s="38" t="n"/>
      <c r="D13" s="38" t="n"/>
      <c r="E13" s="38" t="n"/>
      <c r="F13" s="38" t="n"/>
      <c r="G13" s="38" t="n"/>
      <c r="H13" s="38" t="n"/>
      <c r="I13" s="5" t="n"/>
      <c r="J13" s="5" t="n"/>
      <c r="K13" s="5" t="n"/>
      <c r="L13" s="39" t="n"/>
    </row>
    <row r="14">
      <c r="A14" t="inlineStr">
        <is>
          <t>W11</t>
        </is>
      </c>
      <c r="B14" t="inlineStr">
        <is>
          <t>10-03</t>
        </is>
      </c>
      <c r="C14" s="38" t="n"/>
      <c r="D14" s="38" t="n"/>
      <c r="E14" s="38" t="n"/>
      <c r="F14" s="38" t="n"/>
      <c r="G14" s="38" t="n"/>
      <c r="H14" s="38" t="n"/>
      <c r="I14" s="5" t="n"/>
      <c r="J14" s="5" t="n"/>
      <c r="K14" s="5" t="n"/>
      <c r="L14" s="39" t="n"/>
    </row>
    <row r="15">
      <c r="A15" t="inlineStr">
        <is>
          <t>W12</t>
        </is>
      </c>
      <c r="B15" t="inlineStr">
        <is>
          <t>17-03</t>
        </is>
      </c>
      <c r="C15" s="38" t="n"/>
      <c r="D15" s="38" t="n"/>
      <c r="E15" s="38" t="n"/>
      <c r="F15" s="38" t="n"/>
      <c r="G15" s="38" t="n"/>
      <c r="H15" s="38" t="n"/>
      <c r="I15" s="5" t="n"/>
      <c r="J15" s="5" t="n"/>
      <c r="K15" s="5" t="n"/>
      <c r="L15" s="39" t="n"/>
    </row>
    <row r="16">
      <c r="A16" t="inlineStr">
        <is>
          <t>W13</t>
        </is>
      </c>
      <c r="B16" t="inlineStr">
        <is>
          <t>24-03</t>
        </is>
      </c>
      <c r="C16" s="38" t="n"/>
      <c r="D16" s="38" t="n"/>
      <c r="E16" s="38" t="n"/>
      <c r="F16" s="38" t="n"/>
      <c r="G16" s="38" t="n"/>
      <c r="H16" s="38" t="n"/>
      <c r="I16" s="5" t="n"/>
      <c r="J16" s="5" t="n"/>
      <c r="K16" s="5" t="n"/>
      <c r="L16" s="39" t="n"/>
    </row>
    <row r="17">
      <c r="A17" t="inlineStr">
        <is>
          <t>W14</t>
        </is>
      </c>
      <c r="B17" t="inlineStr">
        <is>
          <t>31-03</t>
        </is>
      </c>
      <c r="C17" s="38" t="n"/>
      <c r="D17" s="38" t="n"/>
      <c r="E17" s="38" t="n"/>
      <c r="F17" s="38" t="n"/>
      <c r="G17" s="38" t="n"/>
      <c r="H17" s="38" t="n"/>
      <c r="I17" s="5" t="n"/>
      <c r="J17" s="5" t="n"/>
      <c r="K17" s="5" t="n"/>
      <c r="L17" s="39" t="n"/>
    </row>
    <row r="18">
      <c r="A18" t="inlineStr">
        <is>
          <t>W15</t>
        </is>
      </c>
      <c r="B18" t="inlineStr">
        <is>
          <t>07-04</t>
        </is>
      </c>
      <c r="C18" s="38" t="n"/>
      <c r="D18" s="38" t="n"/>
      <c r="E18" s="38" t="n"/>
      <c r="F18" s="38" t="n"/>
      <c r="G18" s="38" t="n"/>
      <c r="H18" s="38" t="n"/>
      <c r="I18" s="5" t="n"/>
      <c r="J18" s="5" t="n"/>
      <c r="K18" s="5" t="n"/>
      <c r="L18" s="39" t="n"/>
    </row>
    <row r="19">
      <c r="A19" t="inlineStr">
        <is>
          <t>W16</t>
        </is>
      </c>
      <c r="B19" t="inlineStr">
        <is>
          <t>14-04</t>
        </is>
      </c>
      <c r="C19" s="38" t="n"/>
      <c r="D19" s="38" t="n"/>
      <c r="E19" s="38" t="n"/>
      <c r="F19" s="38" t="n"/>
      <c r="G19" s="38" t="n"/>
      <c r="H19" s="38" t="n"/>
      <c r="I19" s="5" t="n"/>
      <c r="J19" s="5" t="n"/>
      <c r="K19" s="5" t="n"/>
      <c r="L19" s="39" t="n"/>
    </row>
    <row r="20">
      <c r="A20" t="inlineStr">
        <is>
          <t>W17</t>
        </is>
      </c>
      <c r="B20" t="inlineStr">
        <is>
          <t>21-04</t>
        </is>
      </c>
      <c r="C20" s="38" t="n"/>
      <c r="D20" s="38" t="n"/>
      <c r="E20" s="38" t="n"/>
      <c r="F20" s="38" t="n"/>
      <c r="G20" s="38" t="n"/>
      <c r="H20" s="38" t="n"/>
      <c r="I20" s="5" t="n"/>
      <c r="J20" s="5" t="n"/>
      <c r="K20" s="5" t="n"/>
      <c r="L20" s="39" t="n"/>
    </row>
    <row r="21">
      <c r="A21" t="inlineStr">
        <is>
          <t>W18</t>
        </is>
      </c>
      <c r="B21" t="inlineStr">
        <is>
          <t>28-04</t>
        </is>
      </c>
      <c r="C21" s="38" t="n"/>
      <c r="D21" s="38" t="n"/>
      <c r="E21" s="38" t="n"/>
      <c r="F21" s="38" t="n"/>
      <c r="G21" s="38" t="n"/>
      <c r="H21" s="38" t="n"/>
      <c r="I21" s="5" t="n"/>
      <c r="J21" s="5" t="n"/>
      <c r="K21" s="5" t="n"/>
      <c r="L21" s="39" t="n"/>
    </row>
    <row r="22">
      <c r="A22" t="inlineStr">
        <is>
          <t>W19</t>
        </is>
      </c>
      <c r="B22" t="inlineStr">
        <is>
          <t>05-05</t>
        </is>
      </c>
      <c r="C22" s="38" t="n"/>
      <c r="D22" s="38" t="n"/>
      <c r="E22" s="38" t="n"/>
      <c r="F22" s="38" t="n"/>
      <c r="G22" s="38" t="n"/>
      <c r="H22" s="38" t="n"/>
      <c r="I22" s="5" t="n"/>
      <c r="J22" s="5" t="n"/>
      <c r="K22" s="5" t="n"/>
      <c r="L22" s="39" t="n"/>
    </row>
    <row r="23">
      <c r="A23" t="inlineStr">
        <is>
          <t>W20</t>
        </is>
      </c>
      <c r="B23" t="inlineStr">
        <is>
          <t>12-05</t>
        </is>
      </c>
      <c r="C23" s="38" t="n"/>
      <c r="D23" s="38" t="n"/>
      <c r="E23" s="38" t="n"/>
      <c r="F23" s="38" t="n"/>
      <c r="G23" s="38" t="n"/>
      <c r="H23" s="38" t="n"/>
      <c r="I23" s="5" t="n"/>
      <c r="J23" s="5" t="n"/>
      <c r="K23" s="5" t="n"/>
      <c r="L23" s="39" t="n"/>
    </row>
    <row r="24">
      <c r="A24" t="inlineStr">
        <is>
          <t>W21</t>
        </is>
      </c>
      <c r="B24" t="inlineStr">
        <is>
          <t>19-05</t>
        </is>
      </c>
      <c r="C24" s="38" t="n"/>
      <c r="D24" s="38" t="n"/>
      <c r="E24" s="38" t="n"/>
      <c r="F24" s="38" t="n"/>
      <c r="G24" s="38" t="n"/>
      <c r="H24" s="38" t="n"/>
      <c r="I24" s="5" t="n"/>
      <c r="J24" s="5" t="n"/>
      <c r="K24" s="5" t="n"/>
      <c r="L24" s="39" t="n"/>
    </row>
    <row r="25">
      <c r="A25" t="inlineStr">
        <is>
          <t>W22</t>
        </is>
      </c>
      <c r="B25" t="inlineStr">
        <is>
          <t>26-05</t>
        </is>
      </c>
      <c r="C25" s="38" t="n"/>
      <c r="D25" s="38" t="n"/>
      <c r="E25" s="38" t="n"/>
      <c r="F25" s="38" t="n"/>
      <c r="G25" s="38" t="n"/>
      <c r="H25" s="38" t="n"/>
      <c r="I25" s="5" t="n"/>
      <c r="J25" s="5" t="n"/>
      <c r="K25" s="5" t="n"/>
      <c r="L25" s="39" t="n"/>
    </row>
    <row r="26">
      <c r="A26" t="inlineStr">
        <is>
          <t>W23</t>
        </is>
      </c>
      <c r="B26" t="inlineStr">
        <is>
          <t>02-06</t>
        </is>
      </c>
      <c r="C26" s="38" t="n"/>
      <c r="D26" s="38" t="n"/>
      <c r="E26" s="38" t="n"/>
      <c r="F26" s="38" t="n"/>
      <c r="G26" s="38" t="n"/>
      <c r="H26" s="38" t="n"/>
      <c r="I26" s="5" t="n"/>
      <c r="J26" s="5" t="n"/>
      <c r="K26" s="5" t="n"/>
      <c r="L26" s="39" t="n"/>
    </row>
    <row r="27">
      <c r="A27" t="inlineStr">
        <is>
          <t>W24</t>
        </is>
      </c>
      <c r="B27" t="inlineStr">
        <is>
          <t>09-06</t>
        </is>
      </c>
      <c r="C27" s="38" t="n"/>
      <c r="D27" s="38" t="n"/>
      <c r="E27" s="38" t="n"/>
      <c r="F27" s="38" t="n"/>
      <c r="G27" s="38" t="n"/>
      <c r="H27" s="38" t="n"/>
      <c r="I27" s="5" t="n"/>
      <c r="J27" s="5" t="n"/>
      <c r="K27" s="5" t="n"/>
      <c r="L27" s="39" t="n"/>
    </row>
    <row r="28">
      <c r="A28" t="inlineStr">
        <is>
          <t>W25</t>
        </is>
      </c>
      <c r="B28" t="inlineStr">
        <is>
          <t>16-06</t>
        </is>
      </c>
      <c r="C28" s="38" t="n"/>
      <c r="D28" s="38" t="n"/>
      <c r="E28" s="38" t="n"/>
      <c r="F28" s="38" t="n"/>
      <c r="G28" s="38" t="n"/>
      <c r="H28" s="38" t="n"/>
      <c r="I28" s="5" t="n"/>
      <c r="J28" s="5" t="n"/>
      <c r="K28" s="5" t="n"/>
      <c r="L28" s="39" t="n"/>
    </row>
    <row r="29">
      <c r="A29" t="inlineStr">
        <is>
          <t>W26</t>
        </is>
      </c>
      <c r="B29" t="inlineStr">
        <is>
          <t>23-06</t>
        </is>
      </c>
      <c r="C29" s="38" t="n"/>
      <c r="D29" s="38" t="n"/>
      <c r="E29" s="38" t="n"/>
      <c r="F29" s="38" t="n"/>
      <c r="G29" s="38" t="n"/>
      <c r="H29" s="38" t="n"/>
      <c r="I29" s="5" t="n"/>
      <c r="J29" s="5" t="n"/>
      <c r="K29" s="5" t="n"/>
      <c r="L29" s="39" t="n"/>
    </row>
    <row r="30">
      <c r="A30" t="inlineStr">
        <is>
          <t>W27</t>
        </is>
      </c>
      <c r="B30" t="inlineStr">
        <is>
          <t>30-06</t>
        </is>
      </c>
      <c r="C30" s="38" t="n"/>
      <c r="D30" s="38" t="n"/>
      <c r="E30" s="38" t="n"/>
      <c r="F30" s="38" t="n"/>
      <c r="G30" s="38" t="n"/>
      <c r="H30" s="38" t="n"/>
      <c r="I30" s="5" t="n"/>
      <c r="J30" s="5" t="n"/>
      <c r="K30" s="5" t="n"/>
      <c r="L30" s="39" t="n"/>
    </row>
    <row r="31">
      <c r="A31" t="inlineStr">
        <is>
          <t>W28</t>
        </is>
      </c>
      <c r="B31" t="inlineStr">
        <is>
          <t>07-07</t>
        </is>
      </c>
      <c r="C31" s="38" t="n"/>
      <c r="D31" s="38" t="n"/>
      <c r="E31" s="38" t="n"/>
      <c r="F31" s="38" t="n"/>
      <c r="G31" s="38" t="n"/>
      <c r="H31" s="38" t="n"/>
      <c r="I31" s="5" t="n"/>
      <c r="J31" s="5" t="n"/>
      <c r="K31" s="5" t="n"/>
      <c r="L31" s="39" t="n"/>
    </row>
    <row r="32">
      <c r="A32" t="inlineStr">
        <is>
          <t>W29</t>
        </is>
      </c>
      <c r="B32" t="inlineStr">
        <is>
          <t>14-07</t>
        </is>
      </c>
      <c r="C32" s="38" t="n"/>
      <c r="D32" s="38" t="n"/>
      <c r="E32" s="38" t="n"/>
      <c r="F32" s="38" t="n"/>
      <c r="G32" s="38" t="n"/>
      <c r="H32" s="38" t="n"/>
      <c r="I32" s="5" t="n"/>
      <c r="J32" s="5" t="n"/>
      <c r="K32" s="5" t="n"/>
      <c r="L32" s="39" t="n"/>
    </row>
    <row r="33">
      <c r="A33" t="inlineStr">
        <is>
          <t>W30</t>
        </is>
      </c>
      <c r="B33" t="inlineStr">
        <is>
          <t>21-07</t>
        </is>
      </c>
      <c r="C33" s="38" t="n"/>
      <c r="D33" s="38" t="n"/>
      <c r="E33" s="38" t="n"/>
      <c r="F33" s="38" t="n"/>
      <c r="G33" s="38" t="n"/>
      <c r="H33" s="38" t="n"/>
      <c r="I33" s="5" t="n"/>
      <c r="J33" s="5" t="n"/>
      <c r="K33" s="5" t="n"/>
      <c r="L33" s="39" t="n"/>
    </row>
    <row r="34">
      <c r="A34" t="inlineStr">
        <is>
          <t>W31</t>
        </is>
      </c>
      <c r="B34" t="inlineStr">
        <is>
          <t>28-07</t>
        </is>
      </c>
      <c r="C34" s="38" t="n"/>
      <c r="D34" s="38" t="n"/>
      <c r="E34" s="38" t="n"/>
      <c r="F34" s="38" t="n"/>
      <c r="G34" s="38" t="n"/>
      <c r="H34" s="38" t="n"/>
      <c r="I34" s="5" t="n"/>
      <c r="J34" s="5" t="n"/>
      <c r="K34" s="5" t="n"/>
      <c r="L34" s="39" t="n"/>
    </row>
    <row r="35">
      <c r="A35" t="inlineStr">
        <is>
          <t>W32</t>
        </is>
      </c>
      <c r="B35" t="inlineStr">
        <is>
          <t>04-08</t>
        </is>
      </c>
      <c r="C35" s="38" t="n"/>
      <c r="D35" s="38" t="n"/>
      <c r="E35" s="38" t="n"/>
      <c r="F35" s="38" t="n"/>
      <c r="G35" s="38" t="n"/>
      <c r="H35" s="38" t="n"/>
      <c r="I35" s="5" t="n"/>
      <c r="J35" s="5" t="n"/>
      <c r="K35" s="5" t="n"/>
      <c r="L35" s="39" t="n"/>
    </row>
    <row r="36">
      <c r="A36" t="inlineStr">
        <is>
          <t>W33</t>
        </is>
      </c>
      <c r="B36" t="inlineStr">
        <is>
          <t>11-08</t>
        </is>
      </c>
      <c r="C36" s="38" t="n"/>
      <c r="D36" s="38" t="n"/>
      <c r="E36" s="38" t="n"/>
      <c r="F36" s="38" t="n"/>
      <c r="G36" s="38" t="n"/>
      <c r="H36" s="38" t="n"/>
      <c r="I36" s="5" t="n"/>
      <c r="J36" s="5" t="n"/>
      <c r="K36" s="5" t="n"/>
      <c r="L36" s="39" t="n"/>
    </row>
    <row r="37">
      <c r="A37" t="inlineStr">
        <is>
          <t>W34</t>
        </is>
      </c>
      <c r="B37" t="inlineStr">
        <is>
          <t>18-08</t>
        </is>
      </c>
      <c r="C37" s="38" t="n"/>
      <c r="D37" s="38" t="n"/>
      <c r="E37" s="38" t="n"/>
      <c r="F37" s="38" t="n"/>
      <c r="G37" s="38" t="n"/>
      <c r="H37" s="38" t="n"/>
      <c r="I37" s="5" t="n"/>
      <c r="J37" s="5" t="n"/>
      <c r="K37" s="5" t="n"/>
      <c r="L37" s="39" t="n"/>
    </row>
    <row r="38">
      <c r="A38" t="inlineStr">
        <is>
          <t>W35</t>
        </is>
      </c>
      <c r="B38" t="inlineStr">
        <is>
          <t>25-08</t>
        </is>
      </c>
      <c r="C38" s="38" t="n"/>
      <c r="D38" s="38" t="n"/>
      <c r="E38" s="38" t="n"/>
      <c r="F38" s="38" t="n"/>
      <c r="G38" s="38" t="n"/>
      <c r="H38" s="38" t="n"/>
      <c r="I38" s="5" t="n"/>
      <c r="J38" s="5" t="n"/>
      <c r="K38" s="5" t="n"/>
      <c r="L38" s="39" t="n"/>
    </row>
    <row r="39">
      <c r="A39" t="inlineStr">
        <is>
          <t>W36</t>
        </is>
      </c>
      <c r="B39" t="inlineStr">
        <is>
          <t>01-09</t>
        </is>
      </c>
      <c r="C39" s="38" t="n"/>
      <c r="D39" s="38" t="n"/>
      <c r="E39" s="38" t="n"/>
      <c r="F39" s="38" t="n"/>
      <c r="G39" s="38" t="n"/>
      <c r="H39" s="38" t="n"/>
      <c r="I39" s="5" t="n"/>
      <c r="J39" s="5" t="n"/>
      <c r="K39" s="5" t="n"/>
      <c r="L39" s="39" t="n"/>
    </row>
    <row r="40">
      <c r="A40" t="inlineStr">
        <is>
          <t>W37</t>
        </is>
      </c>
      <c r="B40" t="inlineStr">
        <is>
          <t>08-09</t>
        </is>
      </c>
      <c r="C40" s="38" t="n"/>
      <c r="D40" s="38" t="n"/>
      <c r="E40" s="38" t="n"/>
      <c r="F40" s="38" t="n"/>
      <c r="G40" s="38" t="n"/>
      <c r="H40" s="38" t="n"/>
      <c r="I40" s="5" t="n"/>
      <c r="J40" s="5" t="n"/>
      <c r="K40" s="5" t="n"/>
      <c r="L40" s="39" t="n"/>
    </row>
    <row r="41">
      <c r="A41" t="inlineStr">
        <is>
          <t>W38</t>
        </is>
      </c>
      <c r="B41" t="inlineStr">
        <is>
          <t>15-09</t>
        </is>
      </c>
      <c r="C41" s="38" t="n"/>
      <c r="D41" s="38" t="n"/>
      <c r="E41" s="38" t="n"/>
      <c r="F41" s="38" t="n"/>
      <c r="G41" s="38" t="n"/>
      <c r="H41" s="38" t="n"/>
      <c r="I41" s="5" t="n"/>
      <c r="J41" s="5" t="n"/>
      <c r="K41" s="5" t="n"/>
      <c r="L41" s="39" t="n"/>
    </row>
    <row r="42">
      <c r="A42" t="inlineStr">
        <is>
          <t>W39</t>
        </is>
      </c>
      <c r="B42" t="inlineStr">
        <is>
          <t>22-09</t>
        </is>
      </c>
      <c r="C42" s="38" t="n"/>
      <c r="D42" s="38" t="n"/>
      <c r="E42" s="38" t="n"/>
      <c r="F42" s="38" t="n"/>
      <c r="G42" s="38" t="n"/>
      <c r="H42" s="38" t="n"/>
      <c r="I42" s="5" t="n"/>
      <c r="J42" s="5" t="n"/>
      <c r="K42" s="5" t="n"/>
      <c r="L42" s="39" t="n"/>
    </row>
    <row r="43">
      <c r="A43" t="inlineStr">
        <is>
          <t>W40</t>
        </is>
      </c>
      <c r="B43" t="inlineStr">
        <is>
          <t>29-09</t>
        </is>
      </c>
      <c r="C43" s="38" t="n"/>
      <c r="D43" s="38" t="n"/>
      <c r="E43" s="38" t="n"/>
      <c r="F43" s="38" t="n"/>
      <c r="G43" s="38" t="n"/>
      <c r="H43" s="38" t="n"/>
      <c r="I43" s="5" t="n"/>
      <c r="J43" s="5" t="n"/>
      <c r="K43" s="5" t="n"/>
      <c r="L43" s="39" t="n"/>
    </row>
    <row r="44">
      <c r="A44" t="inlineStr">
        <is>
          <t>W41</t>
        </is>
      </c>
      <c r="B44" t="inlineStr">
        <is>
          <t>06-10</t>
        </is>
      </c>
      <c r="C44" s="38" t="n"/>
      <c r="D44" s="38" t="n"/>
      <c r="E44" s="38" t="n"/>
      <c r="F44" s="38" t="n"/>
      <c r="G44" s="38" t="n"/>
      <c r="H44" s="38" t="n"/>
      <c r="I44" s="5" t="n"/>
      <c r="J44" s="5" t="n"/>
      <c r="K44" s="5" t="n"/>
      <c r="L44" s="39" t="n"/>
    </row>
    <row r="45">
      <c r="A45" t="inlineStr">
        <is>
          <t>W42</t>
        </is>
      </c>
      <c r="B45" t="inlineStr">
        <is>
          <t>13-10</t>
        </is>
      </c>
      <c r="C45" s="38" t="n"/>
      <c r="D45" s="38" t="n"/>
      <c r="E45" s="38" t="n"/>
      <c r="F45" s="38" t="n"/>
      <c r="G45" s="38" t="n"/>
      <c r="H45" s="38" t="n"/>
      <c r="I45" s="5" t="n"/>
      <c r="J45" s="5" t="n"/>
      <c r="K45" s="5" t="n"/>
      <c r="L45" s="39" t="n"/>
    </row>
    <row r="46">
      <c r="A46" t="inlineStr">
        <is>
          <t>W43</t>
        </is>
      </c>
      <c r="B46" t="inlineStr">
        <is>
          <t>20-10</t>
        </is>
      </c>
      <c r="C46" s="38" t="n"/>
      <c r="D46" s="38" t="n"/>
      <c r="E46" s="38" t="n"/>
      <c r="F46" s="38" t="n"/>
      <c r="G46" s="38" t="n"/>
      <c r="H46" s="38" t="n"/>
      <c r="I46" s="5" t="n"/>
      <c r="J46" s="5" t="n"/>
      <c r="K46" s="5" t="n"/>
      <c r="L46" s="39" t="n"/>
    </row>
    <row r="47">
      <c r="A47" t="inlineStr">
        <is>
          <t>W44</t>
        </is>
      </c>
      <c r="B47" t="inlineStr">
        <is>
          <t>27-10</t>
        </is>
      </c>
      <c r="C47" s="38" t="n"/>
      <c r="D47" s="38" t="n"/>
      <c r="E47" s="38" t="n"/>
      <c r="F47" s="38" t="n"/>
      <c r="G47" s="38" t="n"/>
      <c r="H47" s="38" t="n"/>
      <c r="I47" s="5" t="n"/>
      <c r="J47" s="5" t="n"/>
      <c r="K47" s="5" t="n"/>
      <c r="L47" s="39" t="n"/>
    </row>
    <row r="48">
      <c r="A48" t="inlineStr">
        <is>
          <t>W45</t>
        </is>
      </c>
      <c r="B48" t="inlineStr">
        <is>
          <t>03-11</t>
        </is>
      </c>
      <c r="C48" s="38" t="n"/>
      <c r="D48" s="38" t="n"/>
      <c r="E48" s="38" t="n"/>
      <c r="F48" s="38" t="n"/>
      <c r="G48" s="38" t="n"/>
      <c r="H48" s="38" t="n"/>
      <c r="I48" s="5" t="n"/>
      <c r="J48" s="5" t="n"/>
      <c r="K48" s="5" t="n"/>
      <c r="L48" s="39" t="n"/>
    </row>
    <row r="49">
      <c r="A49" t="inlineStr">
        <is>
          <t>W46</t>
        </is>
      </c>
      <c r="B49" t="inlineStr">
        <is>
          <t>10-11</t>
        </is>
      </c>
      <c r="C49" s="38" t="n"/>
      <c r="D49" s="38" t="n"/>
      <c r="E49" s="38" t="n"/>
      <c r="F49" s="38" t="n"/>
      <c r="G49" s="38" t="n"/>
      <c r="H49" s="38" t="n"/>
      <c r="I49" s="5" t="n"/>
      <c r="J49" s="5" t="n"/>
      <c r="K49" s="5" t="n"/>
      <c r="L49" s="39" t="n"/>
    </row>
    <row r="50">
      <c r="A50" t="inlineStr">
        <is>
          <t>W47</t>
        </is>
      </c>
      <c r="B50" t="inlineStr">
        <is>
          <t>17-11</t>
        </is>
      </c>
      <c r="C50" s="38" t="n"/>
      <c r="D50" s="38" t="n"/>
      <c r="E50" s="38" t="n"/>
      <c r="F50" s="38" t="n"/>
      <c r="G50" s="38" t="n"/>
      <c r="H50" s="38" t="n"/>
      <c r="I50" s="5" t="n"/>
      <c r="J50" s="5" t="n"/>
      <c r="K50" s="5" t="n"/>
      <c r="L50" s="39" t="n"/>
    </row>
    <row r="51">
      <c r="A51" t="inlineStr">
        <is>
          <t>W48</t>
        </is>
      </c>
      <c r="B51" t="inlineStr">
        <is>
          <t>24-11</t>
        </is>
      </c>
      <c r="C51" s="38" t="n"/>
      <c r="D51" s="38" t="n"/>
      <c r="E51" s="38" t="n"/>
      <c r="F51" s="38" t="n"/>
      <c r="G51" s="38" t="n"/>
      <c r="H51" s="38" t="n"/>
      <c r="I51" s="5" t="n"/>
      <c r="J51" s="5" t="n"/>
      <c r="K51" s="5" t="n"/>
      <c r="L51" s="39" t="n"/>
    </row>
    <row r="52">
      <c r="A52" t="inlineStr">
        <is>
          <t>W49</t>
        </is>
      </c>
      <c r="B52" t="inlineStr">
        <is>
          <t>01-12</t>
        </is>
      </c>
      <c r="C52" s="38" t="n"/>
      <c r="D52" s="38" t="n"/>
      <c r="E52" s="38" t="n"/>
      <c r="F52" s="38" t="n"/>
      <c r="G52" s="38" t="n"/>
      <c r="H52" s="38" t="n"/>
      <c r="I52" s="5" t="n"/>
      <c r="J52" s="5" t="n"/>
      <c r="K52" s="5" t="n"/>
      <c r="L52" s="39" t="n"/>
    </row>
    <row r="53">
      <c r="A53" t="inlineStr">
        <is>
          <t>W50</t>
        </is>
      </c>
      <c r="B53" t="inlineStr">
        <is>
          <t>08-12</t>
        </is>
      </c>
      <c r="C53" s="38" t="n"/>
      <c r="D53" s="38" t="n"/>
      <c r="E53" s="38" t="n"/>
      <c r="F53" s="38" t="n"/>
      <c r="G53" s="38" t="n"/>
      <c r="H53" s="38" t="n"/>
      <c r="I53" s="5" t="n"/>
      <c r="J53" s="5" t="n"/>
      <c r="K53" s="5" t="n"/>
      <c r="L53" s="39" t="n"/>
    </row>
    <row r="54">
      <c r="A54" t="inlineStr">
        <is>
          <t>W51</t>
        </is>
      </c>
      <c r="B54" t="inlineStr">
        <is>
          <t>15-12</t>
        </is>
      </c>
      <c r="C54" s="38" t="n"/>
      <c r="D54" s="38" t="n"/>
      <c r="E54" s="38" t="n"/>
      <c r="F54" s="38" t="n"/>
      <c r="G54" s="38" t="n"/>
      <c r="H54" s="38" t="n"/>
      <c r="I54" s="5" t="n"/>
      <c r="J54" s="5" t="n"/>
      <c r="K54" s="5" t="n"/>
      <c r="L54" s="39" t="n"/>
    </row>
    <row r="55">
      <c r="A55" t="inlineStr">
        <is>
          <t>W52</t>
        </is>
      </c>
      <c r="B55" t="inlineStr">
        <is>
          <t>22-12</t>
        </is>
      </c>
      <c r="C55" s="38" t="n"/>
      <c r="D55" s="38" t="n"/>
      <c r="E55" s="38" t="n"/>
      <c r="F55" s="38" t="n"/>
      <c r="G55" s="38" t="n"/>
      <c r="H55" s="38" t="n"/>
      <c r="I55" s="5" t="n"/>
      <c r="J55" s="5" t="n"/>
      <c r="K55" s="5" t="n"/>
      <c r="L55" s="39" t="n"/>
    </row>
    <row r="56">
      <c r="A56" t="inlineStr">
        <is>
          <t>W53</t>
        </is>
      </c>
      <c r="B56" t="inlineStr">
        <is>
          <t>29-12</t>
        </is>
      </c>
      <c r="C56" s="38" t="n"/>
      <c r="D56" s="38" t="n"/>
      <c r="E56" s="38" t="n"/>
      <c r="F56" s="38" t="n"/>
      <c r="G56" s="38" t="n"/>
      <c r="H56" s="38" t="n"/>
      <c r="I56" s="5" t="n"/>
      <c r="J56" s="5" t="n"/>
      <c r="K56" s="5" t="n"/>
      <c r="L56" s="39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7" t="inlineStr">
        <is>
          <t>📊 MONTHLY SUMMARY - 2026 YEAR OVERVIEW</t>
        </is>
      </c>
    </row>
    <row r="3">
      <c r="A3" s="10" t="inlineStr">
        <is>
          <t>Metric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  <c r="E3" t="inlineStr">
        <is>
          <t>Apr</t>
        </is>
      </c>
      <c r="F3" t="inlineStr">
        <is>
          <t>May</t>
        </is>
      </c>
      <c r="G3" t="inlineStr">
        <is>
          <t>Jun</t>
        </is>
      </c>
      <c r="H3" t="inlineStr">
        <is>
          <t>Jul</t>
        </is>
      </c>
      <c r="I3" t="inlineStr">
        <is>
          <t>Aug</t>
        </is>
      </c>
      <c r="J3" t="inlineStr">
        <is>
          <t>Sep</t>
        </is>
      </c>
      <c r="K3" t="inlineStr">
        <is>
          <t>Oct</t>
        </is>
      </c>
      <c r="L3" t="inlineStr">
        <is>
          <t>Nov</t>
        </is>
      </c>
      <c r="M3" t="inlineStr">
        <is>
          <t>Dec</t>
        </is>
      </c>
      <c r="N3" t="inlineStr">
        <is>
          <t>Total 2026</t>
        </is>
      </c>
    </row>
    <row r="4">
      <c r="A4" s="40" t="inlineStr">
        <is>
          <t>Leads (ICP)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</row>
    <row r="5">
      <c r="A5" s="41" t="inlineStr">
        <is>
          <t>TARGET: 13-17/mnd</t>
        </is>
      </c>
    </row>
    <row r="6">
      <c r="A6" s="40" t="inlineStr">
        <is>
          <t>Meetings</t>
        </is>
      </c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</row>
    <row r="7">
      <c r="A7" s="41" t="inlineStr">
        <is>
          <t>TARGET: 4/mnd</t>
        </is>
      </c>
    </row>
    <row r="8">
      <c r="A8" s="40" t="inlineStr">
        <is>
          <t>Proposals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</row>
    <row r="9">
      <c r="A9" s="41" t="inlineStr">
        <is>
          <t>TARGET: 2-3/mnd</t>
        </is>
      </c>
    </row>
    <row r="10">
      <c r="A10" s="40" t="inlineStr">
        <is>
          <t>Deals Won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>
      <c r="A11" s="41" t="inlineStr">
        <is>
          <t>TARGET: 1/mnd (11/jaar)</t>
        </is>
      </c>
    </row>
    <row r="12">
      <c r="A12" s="40" t="inlineStr">
        <is>
          <t>Placements</t>
        </is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</row>
    <row r="13">
      <c r="A13" s="41" t="inlineStr">
        <is>
          <t>TARGET: 6/mnd (72/jaar)</t>
        </is>
      </c>
    </row>
    <row r="14">
      <c r="A14" s="40" t="inlineStr">
        <is>
          <t>Omzet €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</row>
    <row r="15">
      <c r="A15" s="41" t="inlineStr">
        <is>
          <t>TARGET: €70k/mnd</t>
        </is>
      </c>
    </row>
    <row r="16">
      <c r="A16" s="40" t="inlineStr">
        <is>
          <t>Pipeline €</t>
        </is>
      </c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</row>
    <row r="17">
      <c r="A17" s="41" t="inlineStr">
        <is>
          <t>TARGET: €800k+ steady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WEEKLY PERFORMANCE TRACKER - 52 WEEKS 2026</t>
        </is>
      </c>
    </row>
    <row r="4">
      <c r="A4" s="10" t="inlineStr">
        <is>
          <t>Week</t>
        </is>
      </c>
      <c r="B4" t="inlineStr">
        <is>
          <t>Start Date</t>
        </is>
      </c>
      <c r="C4" t="inlineStr">
        <is>
          <t>Month</t>
        </is>
      </c>
      <c r="D4" t="inlineStr">
        <is>
          <t>Q</t>
        </is>
      </c>
      <c r="E4" t="inlineStr">
        <is>
          <t>Leads</t>
        </is>
      </c>
      <c r="F4" t="inlineStr">
        <is>
          <t>Meetings</t>
        </is>
      </c>
      <c r="G4" t="inlineStr">
        <is>
          <t>Proposals</t>
        </is>
      </c>
      <c r="H4" t="inlineStr">
        <is>
          <t>Deals</t>
        </is>
      </c>
      <c r="I4" t="inlineStr">
        <is>
          <t>Placements</t>
        </is>
      </c>
      <c r="J4" t="inlineStr">
        <is>
          <t>Revenue €</t>
        </is>
      </c>
      <c r="K4" t="inlineStr">
        <is>
          <t>Pipeline €</t>
        </is>
      </c>
    </row>
    <row r="5">
      <c r="A5" s="5" t="n">
        <v>1</v>
      </c>
      <c r="B5" s="5" t="inlineStr">
        <is>
          <t>06-01</t>
        </is>
      </c>
      <c r="C5" s="5" t="inlineStr">
        <is>
          <t>Jan</t>
        </is>
      </c>
      <c r="D5" s="20" t="inlineStr">
        <is>
          <t>Q1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5" t="n">
        <v>2</v>
      </c>
      <c r="B6" s="5" t="inlineStr">
        <is>
          <t>13-01</t>
        </is>
      </c>
      <c r="C6" s="5" t="inlineStr">
        <is>
          <t>Jan</t>
        </is>
      </c>
      <c r="D6" s="20" t="inlineStr">
        <is>
          <t>Q1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5" t="n">
        <v>3</v>
      </c>
      <c r="B7" s="5" t="inlineStr">
        <is>
          <t>20-01</t>
        </is>
      </c>
      <c r="C7" s="5" t="inlineStr">
        <is>
          <t>Jan</t>
        </is>
      </c>
      <c r="D7" s="20" t="inlineStr">
        <is>
          <t>Q1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5" t="n">
        <v>4</v>
      </c>
      <c r="B8" s="5" t="inlineStr">
        <is>
          <t>27-01</t>
        </is>
      </c>
      <c r="C8" s="5" t="inlineStr">
        <is>
          <t>Jan</t>
        </is>
      </c>
      <c r="D8" s="20" t="inlineStr">
        <is>
          <t>Q1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5" t="n">
        <v>5</v>
      </c>
      <c r="B9" s="5" t="inlineStr">
        <is>
          <t>03-02</t>
        </is>
      </c>
      <c r="C9" s="5" t="inlineStr">
        <is>
          <t>Feb</t>
        </is>
      </c>
      <c r="D9" s="20" t="inlineStr">
        <is>
          <t>Q1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5" t="n">
        <v>6</v>
      </c>
      <c r="B10" s="5" t="inlineStr">
        <is>
          <t>10-02</t>
        </is>
      </c>
      <c r="C10" s="5" t="inlineStr">
        <is>
          <t>Feb</t>
        </is>
      </c>
      <c r="D10" s="20" t="inlineStr">
        <is>
          <t>Q1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5" t="n">
        <v>7</v>
      </c>
      <c r="B11" s="5" t="inlineStr">
        <is>
          <t>17-02</t>
        </is>
      </c>
      <c r="C11" s="5" t="inlineStr">
        <is>
          <t>Feb</t>
        </is>
      </c>
      <c r="D11" s="20" t="inlineStr">
        <is>
          <t>Q1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5" t="n">
        <v>8</v>
      </c>
      <c r="B12" s="5" t="inlineStr">
        <is>
          <t>24-02</t>
        </is>
      </c>
      <c r="C12" s="5" t="inlineStr">
        <is>
          <t>Feb</t>
        </is>
      </c>
      <c r="D12" s="20" t="inlineStr">
        <is>
          <t>Q1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5" t="n">
        <v>9</v>
      </c>
      <c r="B13" s="5" t="inlineStr">
        <is>
          <t>03-03</t>
        </is>
      </c>
      <c r="C13" s="5" t="inlineStr">
        <is>
          <t>Mar</t>
        </is>
      </c>
      <c r="D13" s="20" t="inlineStr">
        <is>
          <t>Q1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5" t="n">
        <v>10</v>
      </c>
      <c r="B14" s="5" t="inlineStr">
        <is>
          <t>10-03</t>
        </is>
      </c>
      <c r="C14" s="5" t="inlineStr">
        <is>
          <t>Mar</t>
        </is>
      </c>
      <c r="D14" s="20" t="inlineStr">
        <is>
          <t>Q1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5" t="n">
        <v>11</v>
      </c>
      <c r="B15" s="5" t="inlineStr">
        <is>
          <t>17-03</t>
        </is>
      </c>
      <c r="C15" s="5" t="inlineStr">
        <is>
          <t>Mar</t>
        </is>
      </c>
      <c r="D15" s="20" t="inlineStr">
        <is>
          <t>Q1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5" t="n">
        <v>12</v>
      </c>
      <c r="B16" s="5" t="inlineStr">
        <is>
          <t>24-03</t>
        </is>
      </c>
      <c r="C16" s="5" t="inlineStr">
        <is>
          <t>Mar</t>
        </is>
      </c>
      <c r="D16" s="20" t="inlineStr">
        <is>
          <t>Q1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5" t="n">
        <v>13</v>
      </c>
      <c r="B17" s="5" t="inlineStr">
        <is>
          <t>31-03</t>
        </is>
      </c>
      <c r="C17" s="5" t="inlineStr">
        <is>
          <t>Mar</t>
        </is>
      </c>
      <c r="D17" s="20" t="inlineStr">
        <is>
          <t>Q1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5" t="n">
        <v>14</v>
      </c>
      <c r="B18" s="5" t="inlineStr">
        <is>
          <t>07-04</t>
        </is>
      </c>
      <c r="C18" s="5" t="inlineStr">
        <is>
          <t>Apr</t>
        </is>
      </c>
      <c r="D18" s="21" t="inlineStr">
        <is>
          <t>Q2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5" t="n">
        <v>15</v>
      </c>
      <c r="B19" s="5" t="inlineStr">
        <is>
          <t>14-04</t>
        </is>
      </c>
      <c r="C19" s="5" t="inlineStr">
        <is>
          <t>Apr</t>
        </is>
      </c>
      <c r="D19" s="21" t="inlineStr">
        <is>
          <t>Q2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5" t="n">
        <v>16</v>
      </c>
      <c r="B20" s="5" t="inlineStr">
        <is>
          <t>21-04</t>
        </is>
      </c>
      <c r="C20" s="5" t="inlineStr">
        <is>
          <t>Apr</t>
        </is>
      </c>
      <c r="D20" s="21" t="inlineStr">
        <is>
          <t>Q2</t>
        </is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5" t="n">
        <v>17</v>
      </c>
      <c r="B21" s="5" t="inlineStr">
        <is>
          <t>28-04</t>
        </is>
      </c>
      <c r="C21" s="5" t="inlineStr">
        <is>
          <t>Apr</t>
        </is>
      </c>
      <c r="D21" s="21" t="inlineStr">
        <is>
          <t>Q2</t>
        </is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5" t="n">
        <v>18</v>
      </c>
      <c r="B22" s="5" t="inlineStr">
        <is>
          <t>05-05</t>
        </is>
      </c>
      <c r="C22" s="5" t="inlineStr">
        <is>
          <t>May</t>
        </is>
      </c>
      <c r="D22" s="21" t="inlineStr">
        <is>
          <t>Q2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5" t="n">
        <v>19</v>
      </c>
      <c r="B23" s="5" t="inlineStr">
        <is>
          <t>12-05</t>
        </is>
      </c>
      <c r="C23" s="5" t="inlineStr">
        <is>
          <t>May</t>
        </is>
      </c>
      <c r="D23" s="21" t="inlineStr">
        <is>
          <t>Q2</t>
        </is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5" t="n">
        <v>20</v>
      </c>
      <c r="B24" s="5" t="inlineStr">
        <is>
          <t>19-05</t>
        </is>
      </c>
      <c r="C24" s="5" t="inlineStr">
        <is>
          <t>May</t>
        </is>
      </c>
      <c r="D24" s="21" t="inlineStr">
        <is>
          <t>Q2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5" t="n">
        <v>21</v>
      </c>
      <c r="B25" s="5" t="inlineStr">
        <is>
          <t>26-05</t>
        </is>
      </c>
      <c r="C25" s="5" t="inlineStr">
        <is>
          <t>May</t>
        </is>
      </c>
      <c r="D25" s="21" t="inlineStr">
        <is>
          <t>Q2</t>
        </is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5" t="n">
        <v>22</v>
      </c>
      <c r="B26" s="5" t="inlineStr">
        <is>
          <t>02-06</t>
        </is>
      </c>
      <c r="C26" s="5" t="inlineStr">
        <is>
          <t>Jun</t>
        </is>
      </c>
      <c r="D26" s="21" t="inlineStr">
        <is>
          <t>Q2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5" t="n">
        <v>23</v>
      </c>
      <c r="B27" s="5" t="inlineStr">
        <is>
          <t>09-06</t>
        </is>
      </c>
      <c r="C27" s="5" t="inlineStr">
        <is>
          <t>Jun</t>
        </is>
      </c>
      <c r="D27" s="21" t="inlineStr">
        <is>
          <t>Q2</t>
        </is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5" t="n">
        <v>24</v>
      </c>
      <c r="B28" s="5" t="inlineStr">
        <is>
          <t>16-06</t>
        </is>
      </c>
      <c r="C28" s="5" t="inlineStr">
        <is>
          <t>Jun</t>
        </is>
      </c>
      <c r="D28" s="21" t="inlineStr">
        <is>
          <t>Q2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5" t="n">
        <v>25</v>
      </c>
      <c r="B29" s="5" t="inlineStr">
        <is>
          <t>23-06</t>
        </is>
      </c>
      <c r="C29" s="5" t="inlineStr">
        <is>
          <t>Jun</t>
        </is>
      </c>
      <c r="D29" s="21" t="inlineStr">
        <is>
          <t>Q2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5" t="n">
        <v>26</v>
      </c>
      <c r="B30" s="5" t="inlineStr">
        <is>
          <t>30-06</t>
        </is>
      </c>
      <c r="C30" s="5" t="inlineStr">
        <is>
          <t>Jun</t>
        </is>
      </c>
      <c r="D30" s="21" t="inlineStr">
        <is>
          <t>Q2</t>
        </is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5" t="n">
        <v>27</v>
      </c>
      <c r="B31" s="5" t="inlineStr">
        <is>
          <t>07-07</t>
        </is>
      </c>
      <c r="C31" s="5" t="inlineStr">
        <is>
          <t>Jul</t>
        </is>
      </c>
      <c r="D31" s="7" t="inlineStr">
        <is>
          <t>Q3</t>
        </is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5" t="n">
        <v>28</v>
      </c>
      <c r="B32" s="5" t="inlineStr">
        <is>
          <t>14-07</t>
        </is>
      </c>
      <c r="C32" s="5" t="inlineStr">
        <is>
          <t>Jul</t>
        </is>
      </c>
      <c r="D32" s="7" t="inlineStr">
        <is>
          <t>Q3</t>
        </is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5" t="n">
        <v>29</v>
      </c>
      <c r="B33" s="5" t="inlineStr">
        <is>
          <t>21-07</t>
        </is>
      </c>
      <c r="C33" s="5" t="inlineStr">
        <is>
          <t>Jul</t>
        </is>
      </c>
      <c r="D33" s="7" t="inlineStr">
        <is>
          <t>Q3</t>
        </is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5" t="n">
        <v>30</v>
      </c>
      <c r="B34" s="5" t="inlineStr">
        <is>
          <t>28-07</t>
        </is>
      </c>
      <c r="C34" s="5" t="inlineStr">
        <is>
          <t>Jul</t>
        </is>
      </c>
      <c r="D34" s="7" t="inlineStr">
        <is>
          <t>Q3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  <row r="35">
      <c r="A35" s="5" t="n">
        <v>31</v>
      </c>
      <c r="B35" s="5" t="inlineStr">
        <is>
          <t>04-08</t>
        </is>
      </c>
      <c r="C35" s="5" t="inlineStr">
        <is>
          <t>Aug</t>
        </is>
      </c>
      <c r="D35" s="7" t="inlineStr">
        <is>
          <t>Q3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5" t="n">
        <v>32</v>
      </c>
      <c r="B36" s="5" t="inlineStr">
        <is>
          <t>11-08</t>
        </is>
      </c>
      <c r="C36" s="5" t="inlineStr">
        <is>
          <t>Aug</t>
        </is>
      </c>
      <c r="D36" s="7" t="inlineStr">
        <is>
          <t>Q3</t>
        </is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5" t="n">
        <v>33</v>
      </c>
      <c r="B37" s="5" t="inlineStr">
        <is>
          <t>18-08</t>
        </is>
      </c>
      <c r="C37" s="5" t="inlineStr">
        <is>
          <t>Aug</t>
        </is>
      </c>
      <c r="D37" s="7" t="inlineStr">
        <is>
          <t>Q3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5" t="n">
        <v>34</v>
      </c>
      <c r="B38" s="5" t="inlineStr">
        <is>
          <t>25-08</t>
        </is>
      </c>
      <c r="C38" s="5" t="inlineStr">
        <is>
          <t>Aug</t>
        </is>
      </c>
      <c r="D38" s="7" t="inlineStr">
        <is>
          <t>Q3</t>
        </is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5" t="n">
        <v>35</v>
      </c>
      <c r="B39" s="5" t="inlineStr">
        <is>
          <t>01-09</t>
        </is>
      </c>
      <c r="C39" s="5" t="inlineStr">
        <is>
          <t>Sep</t>
        </is>
      </c>
      <c r="D39" s="7" t="inlineStr">
        <is>
          <t>Q3</t>
        </is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5" t="n">
        <v>36</v>
      </c>
      <c r="B40" s="5" t="inlineStr">
        <is>
          <t>08-09</t>
        </is>
      </c>
      <c r="C40" s="5" t="inlineStr">
        <is>
          <t>Sep</t>
        </is>
      </c>
      <c r="D40" s="7" t="inlineStr">
        <is>
          <t>Q3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5" t="n">
        <v>37</v>
      </c>
      <c r="B41" s="5" t="inlineStr">
        <is>
          <t>15-09</t>
        </is>
      </c>
      <c r="C41" s="5" t="inlineStr">
        <is>
          <t>Sep</t>
        </is>
      </c>
      <c r="D41" s="7" t="inlineStr">
        <is>
          <t>Q3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5" t="n">
        <v>38</v>
      </c>
      <c r="B42" s="5" t="inlineStr">
        <is>
          <t>22-09</t>
        </is>
      </c>
      <c r="C42" s="5" t="inlineStr">
        <is>
          <t>Sep</t>
        </is>
      </c>
      <c r="D42" s="7" t="inlineStr">
        <is>
          <t>Q3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</row>
    <row r="43">
      <c r="A43" s="5" t="n">
        <v>39</v>
      </c>
      <c r="B43" s="5" t="inlineStr">
        <is>
          <t>29-09</t>
        </is>
      </c>
      <c r="C43" s="5" t="inlineStr">
        <is>
          <t>Sep</t>
        </is>
      </c>
      <c r="D43" s="7" t="inlineStr">
        <is>
          <t>Q3</t>
        </is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5" t="n">
        <v>40</v>
      </c>
      <c r="B44" s="5" t="inlineStr">
        <is>
          <t>06-10</t>
        </is>
      </c>
      <c r="C44" s="5" t="inlineStr">
        <is>
          <t>Oct</t>
        </is>
      </c>
      <c r="D44" s="22" t="inlineStr">
        <is>
          <t>Q4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5" t="n">
        <v>41</v>
      </c>
      <c r="B45" s="5" t="inlineStr">
        <is>
          <t>13-10</t>
        </is>
      </c>
      <c r="C45" s="5" t="inlineStr">
        <is>
          <t>Oct</t>
        </is>
      </c>
      <c r="D45" s="22" t="inlineStr">
        <is>
          <t>Q4</t>
        </is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5" t="n">
        <v>42</v>
      </c>
      <c r="B46" s="5" t="inlineStr">
        <is>
          <t>20-10</t>
        </is>
      </c>
      <c r="C46" s="5" t="inlineStr">
        <is>
          <t>Oct</t>
        </is>
      </c>
      <c r="D46" s="22" t="inlineStr">
        <is>
          <t>Q4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</row>
    <row r="47">
      <c r="A47" s="5" t="n">
        <v>43</v>
      </c>
      <c r="B47" s="5" t="inlineStr">
        <is>
          <t>27-10</t>
        </is>
      </c>
      <c r="C47" s="5" t="inlineStr">
        <is>
          <t>Oct</t>
        </is>
      </c>
      <c r="D47" s="22" t="inlineStr">
        <is>
          <t>Q4</t>
        </is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5" t="n">
        <v>44</v>
      </c>
      <c r="B48" s="5" t="inlineStr">
        <is>
          <t>03-11</t>
        </is>
      </c>
      <c r="C48" s="5" t="inlineStr">
        <is>
          <t>Nov</t>
        </is>
      </c>
      <c r="D48" s="22" t="inlineStr">
        <is>
          <t>Q4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>
      <c r="A49" s="5" t="n">
        <v>45</v>
      </c>
      <c r="B49" s="5" t="inlineStr">
        <is>
          <t>10-11</t>
        </is>
      </c>
      <c r="C49" s="5" t="inlineStr">
        <is>
          <t>Nov</t>
        </is>
      </c>
      <c r="D49" s="22" t="inlineStr">
        <is>
          <t>Q4</t>
        </is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5" t="n">
        <v>46</v>
      </c>
      <c r="B50" s="5" t="inlineStr">
        <is>
          <t>17-11</t>
        </is>
      </c>
      <c r="C50" s="5" t="inlineStr">
        <is>
          <t>Nov</t>
        </is>
      </c>
      <c r="D50" s="22" t="inlineStr">
        <is>
          <t>Q4</t>
        </is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>
      <c r="A51" s="5" t="n">
        <v>47</v>
      </c>
      <c r="B51" s="5" t="inlineStr">
        <is>
          <t>24-11</t>
        </is>
      </c>
      <c r="C51" s="5" t="inlineStr">
        <is>
          <t>Nov</t>
        </is>
      </c>
      <c r="D51" s="22" t="inlineStr">
        <is>
          <t>Q4</t>
        </is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5" t="n">
        <v>48</v>
      </c>
      <c r="B52" s="5" t="inlineStr">
        <is>
          <t>01-12</t>
        </is>
      </c>
      <c r="C52" s="5" t="inlineStr">
        <is>
          <t>Dec</t>
        </is>
      </c>
      <c r="D52" s="22" t="inlineStr">
        <is>
          <t>Q4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5" t="n">
        <v>49</v>
      </c>
      <c r="B53" s="5" t="inlineStr">
        <is>
          <t>08-12</t>
        </is>
      </c>
      <c r="C53" s="5" t="inlineStr">
        <is>
          <t>Dec</t>
        </is>
      </c>
      <c r="D53" s="22" t="inlineStr">
        <is>
          <t>Q4</t>
        </is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5" t="n">
        <v>50</v>
      </c>
      <c r="B54" s="5" t="inlineStr">
        <is>
          <t>15-12</t>
        </is>
      </c>
      <c r="C54" s="5" t="inlineStr">
        <is>
          <t>Dec</t>
        </is>
      </c>
      <c r="D54" s="22" t="inlineStr">
        <is>
          <t>Q4</t>
        </is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</row>
    <row r="55">
      <c r="A55" s="5" t="n">
        <v>51</v>
      </c>
      <c r="B55" s="5" t="inlineStr">
        <is>
          <t>22-12</t>
        </is>
      </c>
      <c r="C55" s="5" t="inlineStr">
        <is>
          <t>Dec</t>
        </is>
      </c>
      <c r="D55" s="22" t="inlineStr">
        <is>
          <t>Q4</t>
        </is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>
      <c r="A56" s="5" t="n">
        <v>52</v>
      </c>
      <c r="B56" s="5" t="inlineStr">
        <is>
          <t>29-12</t>
        </is>
      </c>
      <c r="C56" s="5" t="inlineStr">
        <is>
          <t>Dec</t>
        </is>
      </c>
      <c r="D56" s="22" t="inlineStr">
        <is>
          <t>Q4</t>
        </is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8">
      <c r="A58" s="23" t="inlineStr">
        <is>
          <t>TOTAL</t>
        </is>
      </c>
      <c r="E58" s="24">
        <f>SUM(E5:E56)</f>
        <v/>
      </c>
      <c r="F58" s="24">
        <f>SUM(F5:F56)</f>
        <v/>
      </c>
      <c r="G58" s="24">
        <f>SUM(G5:G56)</f>
        <v/>
      </c>
      <c r="H58" s="24">
        <f>SUM(H5:H56)</f>
        <v/>
      </c>
      <c r="I58" s="24">
        <f>SUM(I5:I56)</f>
        <v/>
      </c>
      <c r="J58" s="24">
        <f>SUM(J5:J56)</f>
        <v/>
      </c>
      <c r="K58" s="24">
        <f>SUM(K5:K56)</f>
        <v/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0" customWidth="1" min="7" max="7"/>
    <col width="10" customWidth="1" min="8" max="8"/>
    <col width="15" customWidth="1" min="9" max="9"/>
    <col width="12" customWidth="1" min="10" max="10"/>
  </cols>
  <sheetData>
    <row r="1">
      <c r="A1" s="1" t="inlineStr">
        <is>
          <t>PIPELINE DETAIL - 269 DEALS</t>
        </is>
      </c>
    </row>
    <row r="2">
      <c r="A2" s="2" t="inlineStr">
        <is>
          <t>Live from Pipedrive - Update: Week 2, Jan 2026</t>
        </is>
      </c>
    </row>
    <row r="4">
      <c r="A4" s="9" t="inlineStr">
        <is>
          <t>📊 PIPELINE STATS</t>
        </is>
      </c>
    </row>
    <row r="5">
      <c r="A5" s="10" t="inlineStr">
        <is>
          <t>Metric</t>
        </is>
      </c>
      <c r="B5" t="inlineStr">
        <is>
          <t>Count</t>
        </is>
      </c>
      <c r="C5" t="inlineStr">
        <is>
          <t>Value €</t>
        </is>
      </c>
      <c r="D5" t="inlineStr">
        <is>
          <t>Status</t>
        </is>
      </c>
    </row>
    <row r="6">
      <c r="A6" s="5" t="inlineStr">
        <is>
          <t>Total Deals</t>
        </is>
      </c>
      <c r="B6" s="6" t="inlineStr">
        <is>
          <t>269</t>
        </is>
      </c>
      <c r="C6" s="6" t="inlineStr">
        <is>
          <t>€478,044</t>
        </is>
      </c>
      <c r="D6" s="7" t="inlineStr">
        <is>
          <t>🟡</t>
        </is>
      </c>
    </row>
    <row r="7">
      <c r="A7" s="5" t="inlineStr">
        <is>
          <t>Stage 1 (Prospecting)</t>
        </is>
      </c>
      <c r="B7" s="6" t="inlineStr">
        <is>
          <t>?</t>
        </is>
      </c>
      <c r="C7" s="6" t="inlineStr">
        <is>
          <t>?</t>
        </is>
      </c>
      <c r="D7" s="7" t="inlineStr">
        <is>
          <t>⚠️ Count</t>
        </is>
      </c>
    </row>
    <row r="8">
      <c r="A8" s="5" t="inlineStr">
        <is>
          <t>Stage 2 (Proposal)</t>
        </is>
      </c>
      <c r="B8" s="6" t="inlineStr">
        <is>
          <t>?</t>
        </is>
      </c>
      <c r="C8" s="6" t="inlineStr">
        <is>
          <t>?</t>
        </is>
      </c>
      <c r="D8" s="7" t="inlineStr">
        <is>
          <t>⚠️ Count</t>
        </is>
      </c>
    </row>
    <row r="9">
      <c r="A9" s="5" t="inlineStr">
        <is>
          <t>Stage 3 (Negotiation)</t>
        </is>
      </c>
      <c r="B9" s="6" t="inlineStr">
        <is>
          <t>?</t>
        </is>
      </c>
      <c r="C9" s="6" t="inlineStr">
        <is>
          <t>?</t>
        </is>
      </c>
      <c r="D9" s="7" t="inlineStr">
        <is>
          <t>⚠️ Count</t>
        </is>
      </c>
    </row>
    <row r="10">
      <c r="A10" s="5" t="inlineStr">
        <is>
          <t>Stuck &gt;14 days</t>
        </is>
      </c>
      <c r="B10" s="6" t="inlineStr">
        <is>
          <t>?</t>
        </is>
      </c>
      <c r="C10" s="6" t="inlineStr">
        <is>
          <t>€91,000</t>
        </is>
      </c>
      <c r="D10" s="8" t="inlineStr">
        <is>
          <t>🔴 Urgent</t>
        </is>
      </c>
    </row>
    <row r="11">
      <c r="A11" s="5" t="inlineStr">
        <is>
          <t>ICP Scored</t>
        </is>
      </c>
      <c r="B11" s="6" t="inlineStr">
        <is>
          <t>0</t>
        </is>
      </c>
      <c r="C11" s="6" t="inlineStr">
        <is>
          <t>-</t>
        </is>
      </c>
      <c r="D11" s="8" t="inlineStr">
        <is>
          <t>🔴 TODO</t>
        </is>
      </c>
    </row>
    <row r="14">
      <c r="A14" s="9" t="inlineStr">
        <is>
          <t>💼 ALL DEALS (TO BE IMPORTED FROM PIPEDRIVE)</t>
        </is>
      </c>
    </row>
    <row r="15">
      <c r="A15" s="10" t="inlineStr">
        <is>
          <t>ID</t>
        </is>
      </c>
      <c r="B15" t="inlineStr">
        <is>
          <t>Company</t>
        </is>
      </c>
      <c r="C15" t="inlineStr">
        <is>
          <t>Contact</t>
        </is>
      </c>
      <c r="D15" t="inlineStr">
        <is>
          <t>Stage</t>
        </is>
      </c>
      <c r="E15" t="inlineStr">
        <is>
          <t>Value €</t>
        </is>
      </c>
      <c r="F15" t="inlineStr">
        <is>
          <t>Service</t>
        </is>
      </c>
      <c r="G15" t="inlineStr">
        <is>
          <t>ICP</t>
        </is>
      </c>
      <c r="H15" t="inlineStr">
        <is>
          <t>Days</t>
        </is>
      </c>
      <c r="I15" t="inlineStr">
        <is>
          <t>Source</t>
        </is>
      </c>
      <c r="J15" t="inlineStr">
        <is>
          <t>Owner</t>
        </is>
      </c>
    </row>
    <row r="16">
      <c r="A16" s="5" t="inlineStr">
        <is>
          <t>1</t>
        </is>
      </c>
      <c r="B16" s="5" t="inlineStr">
        <is>
          <t>ASML</t>
        </is>
      </c>
      <c r="C16" s="5" t="inlineStr">
        <is>
          <t>Jan de Vries</t>
        </is>
      </c>
      <c r="D16" s="5" t="inlineStr">
        <is>
          <t>Stage 2</t>
        </is>
      </c>
      <c r="E16" s="6" t="inlineStr">
        <is>
          <t>€28,000</t>
        </is>
      </c>
      <c r="F16" s="5" t="inlineStr">
        <is>
          <t>RPO</t>
        </is>
      </c>
      <c r="G16" s="7" t="inlineStr">
        <is>
          <t>?</t>
        </is>
      </c>
      <c r="H16" s="25" t="inlineStr">
        <is>
          <t>21</t>
        </is>
      </c>
      <c r="I16" s="5" t="inlineStr">
        <is>
          <t>JobDigger</t>
        </is>
      </c>
      <c r="J16" s="5" t="inlineStr">
        <is>
          <t>Wouter</t>
        </is>
      </c>
    </row>
    <row r="17">
      <c r="A17" s="5" t="inlineStr">
        <is>
          <t>2</t>
        </is>
      </c>
      <c r="B17" s="5" t="inlineStr">
        <is>
          <t>Vanderlande</t>
        </is>
      </c>
      <c r="C17" s="5" t="inlineStr">
        <is>
          <t>Lisa Bakker</t>
        </is>
      </c>
      <c r="D17" s="5" t="inlineStr">
        <is>
          <t>Stage 2</t>
        </is>
      </c>
      <c r="E17" s="6" t="inlineStr">
        <is>
          <t>€16,000</t>
        </is>
      </c>
      <c r="F17" s="5" t="inlineStr">
        <is>
          <t>W&amp;S</t>
        </is>
      </c>
      <c r="G17" s="7" t="inlineStr">
        <is>
          <t>?</t>
        </is>
      </c>
      <c r="H17" s="25" t="inlineStr">
        <is>
          <t>18</t>
        </is>
      </c>
      <c r="I17" s="5" t="inlineStr">
        <is>
          <t>LinkedIn</t>
        </is>
      </c>
      <c r="J17" s="5" t="inlineStr">
        <is>
          <t>Kitty</t>
        </is>
      </c>
    </row>
    <row r="18">
      <c r="A18" s="5" t="inlineStr">
        <is>
          <t>3</t>
        </is>
      </c>
      <c r="B18" s="5" t="inlineStr">
        <is>
          <t>Gasunie</t>
        </is>
      </c>
      <c r="C18" s="5" t="inlineStr">
        <is>
          <t>Tom Peters</t>
        </is>
      </c>
      <c r="D18" s="5" t="inlineStr">
        <is>
          <t>Stage 2</t>
        </is>
      </c>
      <c r="E18" s="6" t="inlineStr">
        <is>
          <t>€15,000</t>
        </is>
      </c>
      <c r="F18" s="5" t="inlineStr">
        <is>
          <t>RPO</t>
        </is>
      </c>
      <c r="G18" s="7" t="inlineStr">
        <is>
          <t>?</t>
        </is>
      </c>
      <c r="H18" s="25" t="inlineStr">
        <is>
          <t>16</t>
        </is>
      </c>
      <c r="I18" s="5" t="inlineStr">
        <is>
          <t>Website</t>
        </is>
      </c>
      <c r="J18" s="5" t="inlineStr">
        <is>
          <t>Wouter</t>
        </is>
      </c>
    </row>
    <row r="19">
      <c r="A19" s="5" t="inlineStr">
        <is>
          <t>4</t>
        </is>
      </c>
      <c r="B19" s="5" t="inlineStr">
        <is>
          <t>Nouryon</t>
        </is>
      </c>
      <c r="C19" s="5" t="inlineStr">
        <is>
          <t>Anna Smit</t>
        </is>
      </c>
      <c r="D19" s="5" t="inlineStr">
        <is>
          <t>Stage 2</t>
        </is>
      </c>
      <c r="E19" s="6" t="inlineStr">
        <is>
          <t>€18,000</t>
        </is>
      </c>
      <c r="F19" s="5" t="inlineStr">
        <is>
          <t>W&amp;S</t>
        </is>
      </c>
      <c r="G19" s="7" t="inlineStr">
        <is>
          <t>?</t>
        </is>
      </c>
      <c r="H19" s="25" t="inlineStr">
        <is>
          <t>15</t>
        </is>
      </c>
      <c r="I19" s="5" t="inlineStr">
        <is>
          <t>Referral</t>
        </is>
      </c>
      <c r="J19" s="5" t="inlineStr">
        <is>
          <t>Kitty</t>
        </is>
      </c>
    </row>
    <row r="20">
      <c r="A20" s="5" t="inlineStr">
        <is>
          <t>5</t>
        </is>
      </c>
      <c r="B20" s="5" t="inlineStr">
        <is>
          <t>TechCorp</t>
        </is>
      </c>
      <c r="C20" s="5" t="inlineStr">
        <is>
          <t>Mark Jansen</t>
        </is>
      </c>
      <c r="D20" s="5" t="inlineStr">
        <is>
          <t>Stage 2</t>
        </is>
      </c>
      <c r="E20" s="6" t="inlineStr">
        <is>
          <t>€14,000</t>
        </is>
      </c>
      <c r="F20" s="5" t="inlineStr">
        <is>
          <t>RPO</t>
        </is>
      </c>
      <c r="G20" s="7" t="inlineStr">
        <is>
          <t>?</t>
        </is>
      </c>
      <c r="H20" s="6" t="inlineStr">
        <is>
          <t>14</t>
        </is>
      </c>
      <c r="I20" s="5" t="inlineStr">
        <is>
          <t>JobDigger</t>
        </is>
      </c>
      <c r="J20" s="5" t="inlineStr">
        <is>
          <t>Wouter</t>
        </is>
      </c>
    </row>
    <row r="21">
      <c r="A21" s="5" t="inlineStr">
        <is>
          <t>...</t>
        </is>
      </c>
      <c r="B21" s="5" t="inlineStr">
        <is>
          <t>...</t>
        </is>
      </c>
      <c r="C21" s="5" t="inlineStr">
        <is>
          <t>...</t>
        </is>
      </c>
      <c r="D21" s="5" t="inlineStr">
        <is>
          <t>...</t>
        </is>
      </c>
      <c r="E21" s="6" t="inlineStr">
        <is>
          <t>...</t>
        </is>
      </c>
      <c r="F21" s="5" t="inlineStr">
        <is>
          <t>...</t>
        </is>
      </c>
      <c r="G21" s="5" t="inlineStr">
        <is>
          <t>...</t>
        </is>
      </c>
      <c r="H21" s="6" t="inlineStr">
        <is>
          <t>...</t>
        </is>
      </c>
      <c r="I21" s="5" t="inlineStr">
        <is>
          <t>...</t>
        </is>
      </c>
      <c r="J21" s="5" t="inlineStr">
        <is>
          <t>...</t>
        </is>
      </c>
    </row>
    <row r="22">
      <c r="A22" s="5" t="inlineStr">
        <is>
          <t>269</t>
        </is>
      </c>
      <c r="B22" s="5" t="inlineStr">
        <is>
          <t>[Import rest]</t>
        </is>
      </c>
      <c r="C22" s="5" t="inlineStr">
        <is>
          <t>[269 total]</t>
        </is>
      </c>
      <c r="D22" s="5" t="inlineStr">
        <is>
          <t>[Pipedrive]</t>
        </is>
      </c>
      <c r="E22" s="6" t="inlineStr">
        <is>
          <t>€478,044</t>
        </is>
      </c>
      <c r="F22" s="5" t="inlineStr">
        <is>
          <t>[Mix]</t>
        </is>
      </c>
      <c r="G22" s="5" t="inlineStr">
        <is>
          <t>[Score]</t>
        </is>
      </c>
      <c r="H22" s="6" t="inlineStr">
        <is>
          <t>[Avg]</t>
        </is>
      </c>
      <c r="I22" s="5" t="inlineStr">
        <is>
          <t>[Tag]</t>
        </is>
      </c>
      <c r="J22" s="5" t="inlineStr">
        <is>
          <t>[Assign]</t>
        </is>
      </c>
    </row>
  </sheetData>
  <mergeCells count="4">
    <mergeCell ref="A1:J1"/>
    <mergeCell ref="A4:J4"/>
    <mergeCell ref="A14:J1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IMPLEMENTATION GUIDE - HOW TO USE THIS DASHBOARD</t>
        </is>
      </c>
    </row>
    <row r="4">
      <c r="A4" s="11" t="inlineStr">
        <is>
          <t>🔥 WEEK 1 - CRITICAL SETUP (Deze Week!)</t>
        </is>
      </c>
    </row>
    <row r="5">
      <c r="A5" s="10" t="inlineStr">
        <is>
          <t>#</t>
        </is>
      </c>
      <c r="B5" t="inlineStr">
        <is>
          <t>Actie</t>
        </is>
      </c>
      <c r="C5" t="inlineStr">
        <is>
          <t>Details</t>
        </is>
      </c>
      <c r="D5" t="inlineStr">
        <is>
          <t>Owner</t>
        </is>
      </c>
      <c r="E5" t="inlineStr">
        <is>
          <t>Deadline</t>
        </is>
      </c>
    </row>
    <row r="6">
      <c r="A6" s="13" t="inlineStr">
        <is>
          <t>1</t>
        </is>
      </c>
      <c r="B6" s="5" t="inlineStr">
        <is>
          <t>Pipedrive Lead Source Tagging</t>
        </is>
      </c>
      <c r="C6" s="5" t="inlineStr">
        <is>
          <t>Tag all 269 deals met 1 van 8 sources: JobDigger, LinkedIn, Website, Referrals, Events, Cold Outreach, Partnerships, Inbound</t>
        </is>
      </c>
      <c r="D6" s="5" t="inlineStr">
        <is>
          <t>Wouter</t>
        </is>
      </c>
      <c r="E6" s="5" t="inlineStr">
        <is>
          <t>Week 1</t>
        </is>
      </c>
    </row>
    <row r="7">
      <c r="A7" s="13" t="inlineStr">
        <is>
          <t>2</t>
        </is>
      </c>
      <c r="B7" s="5" t="inlineStr">
        <is>
          <t>ICP Scoring Batch Run</t>
        </is>
      </c>
      <c r="C7" s="5" t="inlineStr">
        <is>
          <t>Use lead-quality-scorer skill om alle 269 deals te scoren (0-100). Target: 75% ICP match. Archive &lt;50% deals.</t>
        </is>
      </c>
      <c r="D7" s="5" t="inlineStr">
        <is>
          <t>Wouter</t>
        </is>
      </c>
      <c r="E7" s="5" t="inlineStr">
        <is>
          <t>Week 1</t>
        </is>
      </c>
    </row>
    <row r="8">
      <c r="A8" s="13" t="inlineStr">
        <is>
          <t>3</t>
        </is>
      </c>
      <c r="B8" s="5" t="inlineStr">
        <is>
          <t>Start Weekly Tracking</t>
        </is>
      </c>
      <c r="C8" s="5" t="inlineStr">
        <is>
          <t>Begin met invullen van 📅 Weekly Tracker sheet. Week 1 data: leads, meetings, proposals, deals, placements, revenue.</t>
        </is>
      </c>
      <c r="D8" s="5" t="inlineStr">
        <is>
          <t>Wouter/Kitty</t>
        </is>
      </c>
      <c r="E8" s="5" t="inlineStr">
        <is>
          <t>Vrijdag 15:00</t>
        </is>
      </c>
    </row>
    <row r="9">
      <c r="A9" s="13" t="inlineStr">
        <is>
          <t>4</t>
        </is>
      </c>
      <c r="B9" s="5" t="inlineStr">
        <is>
          <t>Service Type Tagging</t>
        </is>
      </c>
      <c r="C9" s="5" t="inlineStr">
        <is>
          <t>Tag alle deals: RPO / W&amp;S / Interim / RMA. Bereken huidige mix (target: RPO 55%, W&amp;S 15%).</t>
        </is>
      </c>
      <c r="D9" s="5" t="inlineStr">
        <is>
          <t>Kitty</t>
        </is>
      </c>
      <c r="E9" s="5" t="inlineStr">
        <is>
          <t>Week 1</t>
        </is>
      </c>
    </row>
    <row r="10">
      <c r="A10" s="13" t="inlineStr">
        <is>
          <t>5</t>
        </is>
      </c>
      <c r="B10" s="5" t="inlineStr">
        <is>
          <t>Dashboard Review Meeting</t>
        </is>
      </c>
      <c r="C10" s="5" t="inlineStr">
        <is>
          <t>1 uur meeting: Walkthrough dit dashboard, assign owners, confirm targets, setup routine.</t>
        </is>
      </c>
      <c r="D10" s="5" t="inlineStr">
        <is>
          <t>Beide + Team</t>
        </is>
      </c>
      <c r="E10" s="5" t="inlineStr">
        <is>
          <t>Deze week</t>
        </is>
      </c>
    </row>
    <row r="13">
      <c r="A13" s="26" t="inlineStr">
        <is>
          <t>⚠️ WEEK 2-3 - SYSTEM SETUP</t>
        </is>
      </c>
    </row>
    <row r="14">
      <c r="A14" s="10" t="inlineStr">
        <is>
          <t>#</t>
        </is>
      </c>
      <c r="B14" t="inlineStr">
        <is>
          <t>Actie</t>
        </is>
      </c>
      <c r="C14" t="inlineStr">
        <is>
          <t>Details</t>
        </is>
      </c>
      <c r="D14" t="inlineStr">
        <is>
          <t>Owner</t>
        </is>
      </c>
      <c r="E14" t="inlineStr">
        <is>
          <t>Deadline</t>
        </is>
      </c>
    </row>
    <row r="15">
      <c r="A15" s="14" t="inlineStr">
        <is>
          <t>6</t>
        </is>
      </c>
      <c r="B15" s="5" t="inlineStr">
        <is>
          <t>Carerix Funnel Tracking</t>
        </is>
      </c>
      <c r="C15" s="5" t="inlineStr">
        <is>
          <t>Setup tracking voor alle recruitment funnel stages: Sourced → Screened → Submitted → Interviews → Offers → Placements</t>
        </is>
      </c>
      <c r="D15" s="5" t="inlineStr">
        <is>
          <t>Kitty</t>
        </is>
      </c>
      <c r="E15" s="5" t="inlineStr">
        <is>
          <t>Week 2</t>
        </is>
      </c>
    </row>
    <row r="16">
      <c r="A16" s="14" t="inlineStr">
        <is>
          <t>7</t>
        </is>
      </c>
      <c r="B16" s="5" t="inlineStr">
        <is>
          <t>CSAT Enquête (Jotform)</t>
        </is>
      </c>
      <c r="C16" s="5" t="inlineStr">
        <is>
          <t>Maak post-placement enquête: 5 vragen, 1-10 scale. Auto-send 1 week na placement. Target: ≥8.0 avg.</t>
        </is>
      </c>
      <c r="D16" s="5" t="inlineStr">
        <is>
          <t>Kitty</t>
        </is>
      </c>
      <c r="E16" s="5" t="inlineStr">
        <is>
          <t>Week 3</t>
        </is>
      </c>
    </row>
    <row r="17">
      <c r="A17" s="14" t="inlineStr">
        <is>
          <t>8</t>
        </is>
      </c>
      <c r="B17" s="5" t="inlineStr">
        <is>
          <t>Pipeline Import Script</t>
        </is>
      </c>
      <c r="C17" s="5" t="inlineStr">
        <is>
          <t>Python script om Pipedrive data te pullen naar 💼 Pipeline Detail sheet. Auto-update elke maandag.</t>
        </is>
      </c>
      <c r="D17" s="5" t="inlineStr">
        <is>
          <t>Wouter</t>
        </is>
      </c>
      <c r="E17" s="5" t="inlineStr">
        <is>
          <t>Week 3</t>
        </is>
      </c>
    </row>
    <row r="18">
      <c r="A18" s="14" t="inlineStr">
        <is>
          <t>9</t>
        </is>
      </c>
      <c r="B18" s="5" t="inlineStr">
        <is>
          <t>Lead Gen Sprint Kick-off</t>
        </is>
      </c>
      <c r="C18" s="5" t="inlineStr">
        <is>
          <t>Start 50-lead campaign: JobDigger daily scraping, LinkedIn outreach, client referrals. Target: 3x normal volume.</t>
        </is>
      </c>
      <c r="D18" s="5" t="inlineStr">
        <is>
          <t>Wouter</t>
        </is>
      </c>
      <c r="E18" s="5" t="inlineStr">
        <is>
          <t>Week 2</t>
        </is>
      </c>
    </row>
    <row r="19">
      <c r="A19" s="14" t="inlineStr">
        <is>
          <t>10</t>
        </is>
      </c>
      <c r="B19" s="5" t="inlineStr">
        <is>
          <t>Team Training</t>
        </is>
      </c>
      <c r="C19" s="5" t="inlineStr">
        <is>
          <t>Train recruiters op nieuwe KPIs, funnel targets, dashboard tracking. Print 👥 Recruitment KPIs sheet voor iedereen.</t>
        </is>
      </c>
      <c r="D19" s="5" t="inlineStr">
        <is>
          <t>Kitty</t>
        </is>
      </c>
      <c r="E19" s="5" t="inlineStr">
        <is>
          <t>Week 3</t>
        </is>
      </c>
    </row>
    <row r="22">
      <c r="A22" s="27" t="inlineStr">
        <is>
          <t>🎯 MONTH 1 (JANUARI) - SUCCESS CRITERIA</t>
        </is>
      </c>
    </row>
    <row r="23">
      <c r="A23" s="10" t="inlineStr">
        <is>
          <t>Category</t>
        </is>
      </c>
      <c r="B23" t="inlineStr">
        <is>
          <t>Metric</t>
        </is>
      </c>
      <c r="C23" t="inlineStr">
        <is>
          <t>Target</t>
        </is>
      </c>
      <c r="D23" t="inlineStr">
        <is>
          <t>Minimum</t>
        </is>
      </c>
    </row>
    <row r="24">
      <c r="A24" s="28" t="inlineStr">
        <is>
          <t>TRACKING</t>
        </is>
      </c>
      <c r="B24" s="5" t="inlineStr">
        <is>
          <t>Weeks tracked in dashboard</t>
        </is>
      </c>
      <c r="C24" s="5" t="inlineStr">
        <is>
          <t>4/4</t>
        </is>
      </c>
      <c r="D24" s="5" t="inlineStr">
        <is>
          <t>3/4</t>
        </is>
      </c>
    </row>
    <row r="25">
      <c r="A25" s="28" t="inlineStr">
        <is>
          <t>TRACKING</t>
        </is>
      </c>
      <c r="B25" s="5" t="inlineStr">
        <is>
          <t>Deals with ICP scores</t>
        </is>
      </c>
      <c r="C25" s="5" t="inlineStr">
        <is>
          <t>269/269 (100%)</t>
        </is>
      </c>
      <c r="D25" s="5" t="inlineStr">
        <is>
          <t>200/269 (75%)</t>
        </is>
      </c>
    </row>
    <row r="26">
      <c r="A26" s="28" t="inlineStr">
        <is>
          <t>TRACKING</t>
        </is>
      </c>
      <c r="B26" s="5" t="inlineStr">
        <is>
          <t>Deals with source tags</t>
        </is>
      </c>
      <c r="C26" s="5" t="inlineStr">
        <is>
          <t>269/269</t>
        </is>
      </c>
      <c r="D26" s="5" t="inlineStr">
        <is>
          <t>200/269</t>
        </is>
      </c>
    </row>
    <row r="27">
      <c r="A27" s="28" t="inlineStr">
        <is>
          <t>TRACKING</t>
        </is>
      </c>
      <c r="B27" s="5" t="inlineStr">
        <is>
          <t>Deals with service tags</t>
        </is>
      </c>
      <c r="C27" s="5" t="inlineStr">
        <is>
          <t>269/269</t>
        </is>
      </c>
      <c r="D27" s="5" t="inlineStr">
        <is>
          <t>200/269</t>
        </is>
      </c>
    </row>
    <row r="28">
      <c r="A28" s="5" t="inlineStr"/>
      <c r="B28" s="5" t="inlineStr"/>
      <c r="C28" s="5" t="inlineStr"/>
      <c r="D28" s="5" t="inlineStr"/>
    </row>
    <row r="29">
      <c r="A29" s="28" t="inlineStr">
        <is>
          <t>SALES</t>
        </is>
      </c>
      <c r="B29" s="5" t="inlineStr">
        <is>
          <t>New ICP leads</t>
        </is>
      </c>
      <c r="C29" s="5" t="inlineStr">
        <is>
          <t>13-17</t>
        </is>
      </c>
      <c r="D29" s="5" t="inlineStr">
        <is>
          <t>10+</t>
        </is>
      </c>
    </row>
    <row r="30">
      <c r="A30" s="28" t="inlineStr">
        <is>
          <t>SALES</t>
        </is>
      </c>
      <c r="B30" s="5" t="inlineStr">
        <is>
          <t>Meetings scheduled</t>
        </is>
      </c>
      <c r="C30" s="5" t="inlineStr">
        <is>
          <t>4</t>
        </is>
      </c>
      <c r="D30" s="5" t="inlineStr">
        <is>
          <t>3+</t>
        </is>
      </c>
    </row>
    <row r="31">
      <c r="A31" s="28" t="inlineStr">
        <is>
          <t>SALES</t>
        </is>
      </c>
      <c r="B31" s="5" t="inlineStr">
        <is>
          <t>Proposals sent</t>
        </is>
      </c>
      <c r="C31" s="5" t="inlineStr">
        <is>
          <t>2</t>
        </is>
      </c>
      <c r="D31" s="5" t="inlineStr">
        <is>
          <t>1+</t>
        </is>
      </c>
    </row>
    <row r="32">
      <c r="A32" s="28" t="inlineStr">
        <is>
          <t>SALES</t>
        </is>
      </c>
      <c r="B32" s="5" t="inlineStr">
        <is>
          <t>Pipeline value</t>
        </is>
      </c>
      <c r="C32" s="5" t="inlineStr">
        <is>
          <t>€800k</t>
        </is>
      </c>
      <c r="D32" s="5" t="inlineStr">
        <is>
          <t>€600k+</t>
        </is>
      </c>
    </row>
    <row r="33">
      <c r="A33" s="5" t="inlineStr"/>
      <c r="B33" s="5" t="inlineStr"/>
      <c r="C33" s="5" t="inlineStr"/>
      <c r="D33" s="5" t="inlineStr"/>
    </row>
    <row r="34">
      <c r="A34" s="28" t="inlineStr">
        <is>
          <t>RECRUITMENT</t>
        </is>
      </c>
      <c r="B34" s="5" t="inlineStr">
        <is>
          <t>Placements</t>
        </is>
      </c>
      <c r="C34" s="5" t="inlineStr">
        <is>
          <t>6</t>
        </is>
      </c>
      <c r="D34" s="5" t="inlineStr">
        <is>
          <t>4+</t>
        </is>
      </c>
    </row>
    <row r="35">
      <c r="A35" s="28" t="inlineStr">
        <is>
          <t>RECRUITMENT</t>
        </is>
      </c>
      <c r="B35" s="5" t="inlineStr">
        <is>
          <t>Candidates sourced/recruiter</t>
        </is>
      </c>
      <c r="C35" s="5" t="inlineStr">
        <is>
          <t>68/mnd</t>
        </is>
      </c>
      <c r="D35" s="5" t="inlineStr">
        <is>
          <t>50+/mnd</t>
        </is>
      </c>
    </row>
    <row r="36">
      <c r="A36" s="28" t="inlineStr">
        <is>
          <t>RECRUITMENT</t>
        </is>
      </c>
      <c r="B36" s="5" t="inlineStr">
        <is>
          <t>Funnel tracking live</t>
        </is>
      </c>
      <c r="C36" s="5" t="inlineStr">
        <is>
          <t>Yes</t>
        </is>
      </c>
      <c r="D36" s="5" t="inlineStr">
        <is>
          <t>Yes</t>
        </is>
      </c>
    </row>
    <row r="37">
      <c r="A37" s="5" t="inlineStr"/>
      <c r="B37" s="5" t="inlineStr"/>
      <c r="C37" s="5" t="inlineStr"/>
      <c r="D37" s="5" t="inlineStr"/>
    </row>
    <row r="38">
      <c r="A38" s="28" t="inlineStr">
        <is>
          <t>QUALITY</t>
        </is>
      </c>
      <c r="B38" s="5" t="inlineStr">
        <is>
          <t>ICP % of new leads</t>
        </is>
      </c>
      <c r="C38" s="5" t="inlineStr">
        <is>
          <t>75%</t>
        </is>
      </c>
      <c r="D38" s="5" t="inlineStr">
        <is>
          <t>60%+</t>
        </is>
      </c>
    </row>
    <row r="39">
      <c r="A39" s="28" t="inlineStr">
        <is>
          <t>QUALITY</t>
        </is>
      </c>
      <c r="B39" s="5" t="inlineStr">
        <is>
          <t>No deals &gt;60d stuck</t>
        </is>
      </c>
      <c r="C39" s="5" t="inlineStr">
        <is>
          <t>0</t>
        </is>
      </c>
      <c r="D39" s="5" t="inlineStr">
        <is>
          <t>0</t>
        </is>
      </c>
    </row>
    <row r="42">
      <c r="A42" s="9" t="inlineStr">
        <is>
          <t>📅 WEEKLY ROUTINE (Starting Week 1)</t>
        </is>
      </c>
    </row>
    <row r="43">
      <c r="A43" s="10" t="inlineStr">
        <is>
          <t>Dag</t>
        </is>
      </c>
      <c r="B43" t="inlineStr">
        <is>
          <t>Tijd</t>
        </is>
      </c>
      <c r="C43" t="inlineStr">
        <is>
          <t>Activiteit</t>
        </is>
      </c>
      <c r="D43" t="inlineStr">
        <is>
          <t>Sheets to Update</t>
        </is>
      </c>
      <c r="E43" t="inlineStr">
        <is>
          <t>Owner</t>
        </is>
      </c>
    </row>
    <row r="44">
      <c r="A44" s="29" t="inlineStr">
        <is>
          <t>Maandag</t>
        </is>
      </c>
      <c r="B44" s="5" t="inlineStr">
        <is>
          <t>10:00</t>
        </is>
      </c>
      <c r="C44" s="5" t="inlineStr">
        <is>
          <t>Management Review (60 min)</t>
        </is>
      </c>
      <c r="D44" s="5" t="inlineStr">
        <is>
          <t>📊 Executive Dashboard review</t>
        </is>
      </c>
      <c r="E44" s="5" t="inlineStr">
        <is>
          <t>Wouter/Kitty + Team</t>
        </is>
      </c>
    </row>
    <row r="45">
      <c r="A45" s="5" t="inlineStr"/>
      <c r="B45" s="5" t="inlineStr"/>
      <c r="C45" s="5" t="inlineStr">
        <is>
          <t>Check Top 4 metrics, discuss urgent actions, review weekly goals</t>
        </is>
      </c>
      <c r="D45" s="5" t="inlineStr"/>
      <c r="E45" s="5" t="inlineStr"/>
    </row>
    <row r="46">
      <c r="A46" s="5" t="inlineStr"/>
      <c r="B46" s="5" t="inlineStr"/>
      <c r="C46" s="5" t="inlineStr"/>
      <c r="D46" s="5" t="inlineStr"/>
      <c r="E46" s="5" t="inlineStr"/>
    </row>
    <row r="47">
      <c r="A47" s="29" t="inlineStr">
        <is>
          <t>Vrijdag</t>
        </is>
      </c>
      <c r="B47" s="5" t="inlineStr">
        <is>
          <t>15:00</t>
        </is>
      </c>
      <c r="C47" s="5" t="inlineStr">
        <is>
          <t>Sales Dashboard Update (30 min)</t>
        </is>
      </c>
      <c r="D47" s="5" t="inlineStr">
        <is>
          <t>📈 Sales KPIs + 📅 Weekly Tracker</t>
        </is>
      </c>
      <c r="E47" s="5" t="inlineStr">
        <is>
          <t>Wouter/Kitty</t>
        </is>
      </c>
    </row>
    <row r="48">
      <c r="A48" s="5" t="inlineStr"/>
      <c r="B48" s="5" t="inlineStr"/>
      <c r="C48" s="5" t="inlineStr">
        <is>
          <t>Fill in: Leads, Meetings, Proposals, Deals, Revenue, Pipeline value</t>
        </is>
      </c>
      <c r="D48" s="5" t="inlineStr"/>
      <c r="E48" s="5" t="inlineStr"/>
    </row>
    <row r="49">
      <c r="A49" s="5" t="inlineStr"/>
      <c r="B49" s="5" t="inlineStr"/>
      <c r="C49" s="5" t="inlineStr"/>
      <c r="D49" s="5" t="inlineStr"/>
      <c r="E49" s="5" t="inlineStr"/>
    </row>
    <row r="50">
      <c r="A50" s="29" t="inlineStr">
        <is>
          <t>Vrijdag</t>
        </is>
      </c>
      <c r="B50" s="5" t="inlineStr">
        <is>
          <t>16:00</t>
        </is>
      </c>
      <c r="C50" s="5" t="inlineStr">
        <is>
          <t>Recruiter Dashboard Update (30 min)</t>
        </is>
      </c>
      <c r="D50" s="5" t="inlineStr">
        <is>
          <t>👥 Recruitment KPIs + Funnel data</t>
        </is>
      </c>
      <c r="E50" s="5" t="inlineStr">
        <is>
          <t>Recruiters/Kitty</t>
        </is>
      </c>
    </row>
    <row r="51">
      <c r="A51" s="5" t="inlineStr"/>
      <c r="B51" s="5" t="inlineStr"/>
      <c r="C51" s="5" t="inlineStr">
        <is>
          <t>Fill in: Placements, Sourced, Screened, Submitted, Interviews, Offers</t>
        </is>
      </c>
      <c r="D51" s="5" t="inlineStr"/>
      <c r="E51" s="5" t="inlineStr"/>
    </row>
    <row r="52">
      <c r="A52" s="5" t="inlineStr"/>
      <c r="B52" s="5" t="inlineStr"/>
      <c r="C52" s="5" t="inlineStr"/>
      <c r="D52" s="5" t="inlineStr"/>
      <c r="E52" s="5" t="inlineStr"/>
    </row>
    <row r="53">
      <c r="A53" s="29" t="inlineStr">
        <is>
          <t>Laatste</t>
        </is>
      </c>
      <c r="B53" s="5" t="inlineStr">
        <is>
          <t>Vrijdag</t>
        </is>
      </c>
      <c r="C53" s="5" t="inlineStr">
        <is>
          <t>Monthly Deep Dive (90 min)</t>
        </is>
      </c>
      <c r="D53" s="5" t="inlineStr">
        <is>
          <t>All sheets review + next month planning</t>
        </is>
      </c>
      <c r="E53" s="5" t="inlineStr">
        <is>
          <t>Wouter/Kitty</t>
        </is>
      </c>
    </row>
    <row r="54">
      <c r="A54" s="5" t="inlineStr">
        <is>
          <t>vrijdag</t>
        </is>
      </c>
      <c r="B54" s="5" t="inlineStr">
        <is>
          <t>14:00</t>
        </is>
      </c>
      <c r="C54" s="5" t="inlineStr">
        <is>
          <t>Calculate conversie rates, check benchmarks, identify optimizations</t>
        </is>
      </c>
      <c r="D54" s="5" t="inlineStr"/>
      <c r="E54" s="5" t="inlineStr"/>
    </row>
  </sheetData>
  <mergeCells count="5">
    <mergeCell ref="A1:J1"/>
    <mergeCell ref="A4:E4"/>
    <mergeCell ref="A42:E42"/>
    <mergeCell ref="A13:E13"/>
    <mergeCell ref="A22:E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5" customWidth="1" min="3" max="3"/>
  </cols>
  <sheetData>
    <row r="1">
      <c r="A1" s="1" t="inlineStr">
        <is>
          <t>FORMULAS &amp; CALCULATIONS REFERENCE</t>
        </is>
      </c>
    </row>
    <row r="4">
      <c r="A4" s="9" t="inlineStr">
        <is>
          <t>📊 CONVERSION RATE FORMULAS</t>
        </is>
      </c>
    </row>
    <row r="5">
      <c r="A5" s="10" t="inlineStr">
        <is>
          <t>Metric</t>
        </is>
      </c>
      <c r="B5" t="inlineStr">
        <is>
          <t>Formula</t>
        </is>
      </c>
      <c r="C5" t="inlineStr">
        <is>
          <t>Target</t>
        </is>
      </c>
    </row>
    <row r="6">
      <c r="A6" s="5" t="inlineStr">
        <is>
          <t>Lead → Meeting %</t>
        </is>
      </c>
      <c r="B6" s="5" t="inlineStr">
        <is>
          <t>(Meetings / New Leads) × 100</t>
        </is>
      </c>
      <c r="C6" s="5" t="inlineStr">
        <is>
          <t>30%</t>
        </is>
      </c>
    </row>
    <row r="7">
      <c r="A7" s="5" t="inlineStr">
        <is>
          <t>Meeting → Proposal %</t>
        </is>
      </c>
      <c r="B7" s="5" t="inlineStr">
        <is>
          <t>(Proposals / Meetings) × 100</t>
        </is>
      </c>
      <c r="C7" s="5" t="inlineStr">
        <is>
          <t>60%</t>
        </is>
      </c>
    </row>
    <row r="8">
      <c r="A8" s="5" t="inlineStr">
        <is>
          <t>Proposal → Deal %</t>
        </is>
      </c>
      <c r="B8" s="5" t="inlineStr">
        <is>
          <t>(Deals / Proposals) × 100</t>
        </is>
      </c>
      <c r="C8" s="5" t="inlineStr">
        <is>
          <t>40%</t>
        </is>
      </c>
    </row>
    <row r="9">
      <c r="A9" s="5" t="inlineStr">
        <is>
          <t>Overall Lead → Deal %</t>
        </is>
      </c>
      <c r="B9" s="5" t="inlineStr">
        <is>
          <t>(Deals / New Leads) × 100</t>
        </is>
      </c>
      <c r="C9" s="5" t="inlineStr">
        <is>
          <t>7.2%</t>
        </is>
      </c>
    </row>
    <row r="10">
      <c r="A10" s="5" t="inlineStr"/>
      <c r="B10" s="5" t="inlineStr"/>
      <c r="C10" s="5" t="inlineStr"/>
    </row>
    <row r="11">
      <c r="A11" s="5" t="inlineStr">
        <is>
          <t>Candidate Conversion %</t>
        </is>
      </c>
      <c r="B11" s="5" t="inlineStr">
        <is>
          <t>(Placements / Sourced) × 100</t>
        </is>
      </c>
      <c r="C11" s="5" t="inlineStr">
        <is>
          <t>25%</t>
        </is>
      </c>
    </row>
    <row r="12">
      <c r="A12" s="5" t="inlineStr">
        <is>
          <t>Interview-to-Offer Ratio</t>
        </is>
      </c>
      <c r="B12" s="5" t="inlineStr">
        <is>
          <t>Interviews / Offers</t>
        </is>
      </c>
      <c r="C12" s="5" t="inlineStr">
        <is>
          <t>3:1</t>
        </is>
      </c>
    </row>
    <row r="13">
      <c r="A13" s="5" t="inlineStr">
        <is>
          <t>Sourcing Efficiency</t>
        </is>
      </c>
      <c r="B13" s="5" t="inlineStr">
        <is>
          <t>(Screened / Sourced) × 100</t>
        </is>
      </c>
      <c r="C13" s="5" t="inlineStr">
        <is>
          <t>30%</t>
        </is>
      </c>
    </row>
    <row r="14">
      <c r="A14" s="5" t="inlineStr">
        <is>
          <t>Submission Rate</t>
        </is>
      </c>
      <c r="B14" s="5" t="inlineStr">
        <is>
          <t>(Submitted / Screened) × 100</t>
        </is>
      </c>
      <c r="C14" s="5" t="inlineStr">
        <is>
          <t>70%</t>
        </is>
      </c>
    </row>
    <row r="15">
      <c r="A15" s="5" t="inlineStr">
        <is>
          <t>Interview Success</t>
        </is>
      </c>
      <c r="B15" s="5" t="inlineStr">
        <is>
          <t>(Interviews / Submitted) × 100</t>
        </is>
      </c>
      <c r="C15" s="5" t="inlineStr">
        <is>
          <t>50%</t>
        </is>
      </c>
    </row>
    <row r="16">
      <c r="A16" s="5" t="inlineStr">
        <is>
          <t>Offer Acceptance</t>
        </is>
      </c>
      <c r="B16" s="5" t="inlineStr">
        <is>
          <t>(Placements / Offers) × 100</t>
        </is>
      </c>
      <c r="C16" s="5" t="inlineStr">
        <is>
          <t>85%</t>
        </is>
      </c>
    </row>
    <row r="19">
      <c r="A19" s="9" t="inlineStr">
        <is>
          <t>💰 FINANCIAL METRICS</t>
        </is>
      </c>
    </row>
    <row r="20">
      <c r="A20" s="10" t="inlineStr">
        <is>
          <t>Metric</t>
        </is>
      </c>
      <c r="B20" t="inlineStr">
        <is>
          <t>Formula</t>
        </is>
      </c>
      <c r="C20" t="inlineStr">
        <is>
          <t>Target</t>
        </is>
      </c>
    </row>
    <row r="21">
      <c r="A21" s="5" t="inlineStr">
        <is>
          <t>Avg Deal Size</t>
        </is>
      </c>
      <c r="B21" s="5" t="inlineStr">
        <is>
          <t>Total Revenue / Number of Deals</t>
        </is>
      </c>
      <c r="C21" s="5" t="inlineStr">
        <is>
          <t>€53,818</t>
        </is>
      </c>
    </row>
    <row r="22">
      <c r="A22" s="5" t="inlineStr">
        <is>
          <t>Revenue per Recruiter</t>
        </is>
      </c>
      <c r="B22" s="5" t="inlineStr">
        <is>
          <t>Total Revenue / Number of Recruiters</t>
        </is>
      </c>
      <c r="C22" s="5" t="inlineStr">
        <is>
          <t>€34k/mnd</t>
        </is>
      </c>
    </row>
    <row r="23">
      <c r="A23" s="5" t="inlineStr">
        <is>
          <t>Cost per Lead</t>
        </is>
      </c>
      <c r="B23" s="5" t="inlineStr">
        <is>
          <t>Marketing Spend / Number of Leads</t>
        </is>
      </c>
      <c r="C23" s="5" t="inlineStr">
        <is>
          <t>€60</t>
        </is>
      </c>
    </row>
    <row r="24">
      <c r="A24" s="5" t="inlineStr">
        <is>
          <t>Cost per Deal</t>
        </is>
      </c>
      <c r="B24" s="5" t="inlineStr">
        <is>
          <t>Marketing Spend / Number of Deals</t>
        </is>
      </c>
      <c r="C24" s="5" t="inlineStr">
        <is>
          <t>€1,109</t>
        </is>
      </c>
    </row>
    <row r="25">
      <c r="A25" s="5" t="inlineStr">
        <is>
          <t>Marketing ROI</t>
        </is>
      </c>
      <c r="B25" s="5" t="inlineStr">
        <is>
          <t>Revenue / Marketing Spend</t>
        </is>
      </c>
      <c r="C25" s="5" t="inlineStr">
        <is>
          <t>48x</t>
        </is>
      </c>
    </row>
    <row r="26">
      <c r="A26" s="5" t="inlineStr">
        <is>
          <t>Pipeline Coverage</t>
        </is>
      </c>
      <c r="B26" s="5" t="inlineStr">
        <is>
          <t>Pipeline Value / Monthly Revenue Target</t>
        </is>
      </c>
      <c r="C26" s="5" t="inlineStr">
        <is>
          <t>4x</t>
        </is>
      </c>
    </row>
    <row r="29">
      <c r="A29" s="9" t="inlineStr">
        <is>
          <t>⏱️ TIME METRICS</t>
        </is>
      </c>
    </row>
    <row r="30">
      <c r="A30" s="10" t="inlineStr">
        <is>
          <t>Metric</t>
        </is>
      </c>
      <c r="B30" t="inlineStr">
        <is>
          <t>Formula</t>
        </is>
      </c>
      <c r="C30" t="inlineStr">
        <is>
          <t>Target</t>
        </is>
      </c>
    </row>
    <row r="31">
      <c r="A31" s="5" t="inlineStr">
        <is>
          <t>Time to Fill (TTF)</t>
        </is>
      </c>
      <c r="B31" s="5" t="inlineStr">
        <is>
          <t>Days from Vacancy Open → Offer Accepted</t>
        </is>
      </c>
      <c r="C31" s="5" t="inlineStr">
        <is>
          <t>&lt;8 weken (56 days)</t>
        </is>
      </c>
    </row>
    <row r="32">
      <c r="A32" s="5" t="inlineStr">
        <is>
          <t>Time to Hire (TTH)</t>
        </is>
      </c>
      <c r="B32" s="5" t="inlineStr">
        <is>
          <t>Days from Vacancy Open → Candidate Start</t>
        </is>
      </c>
      <c r="C32" s="5" t="inlineStr">
        <is>
          <t>&lt;12 weken (84 days)</t>
        </is>
      </c>
    </row>
    <row r="33">
      <c r="A33" s="5" t="inlineStr">
        <is>
          <t>Sales Cycle</t>
        </is>
      </c>
      <c r="B33" s="5" t="inlineStr">
        <is>
          <t>Days from Lead Created → Deal Won</t>
        </is>
      </c>
      <c r="C33" s="5" t="inlineStr">
        <is>
          <t>&lt;90 dagen</t>
        </is>
      </c>
    </row>
    <row r="34">
      <c r="A34" s="5" t="inlineStr">
        <is>
          <t>Days in Stage</t>
        </is>
      </c>
      <c r="B34" s="5" t="inlineStr">
        <is>
          <t>Days since Deal entered current stage</t>
        </is>
      </c>
      <c r="C34" s="5" t="inlineStr">
        <is>
          <t>Alert if &gt;14 days</t>
        </is>
      </c>
    </row>
  </sheetData>
  <mergeCells count="4">
    <mergeCell ref="A29:C29"/>
    <mergeCell ref="A4:C4"/>
    <mergeCell ref="A1:J1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2026-01-12T04:02:05Z</dcterms:created>
  <dcterms:modified xmlns:dcterms="http://purl.org/dc/terms/" xmlns:xsi="http://www.w3.org/2001/XMLSchema-instance" xsi:type="dcterms:W3CDTF">2026-01-12T04:13:40Z</dcterms:modified>
</cp:coreProperties>
</file>